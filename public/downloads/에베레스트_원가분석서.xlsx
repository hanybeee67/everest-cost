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6000" firstSheet="0" activeTab="0"/>
  </bookViews>
  <sheets>
    <sheet sheetId="1" name="📘 사용안내" state="visible" r:id="rId4"/>
    <sheet sheetId="2" name="⑥ 분석 대시보드" state="visible" r:id="rId5"/>
    <sheet sheetId="3" name="④ 메뉴 원가표" state="visible" r:id="rId6"/>
    <sheet sheetId="4" name="⑤ 레시피 상세" state="visible" r:id="rId7"/>
    <sheet sheetId="5" name="① 식재료 단가" state="visible" r:id="rId8"/>
    <sheet sheetId="6" name="② 프렙 원가" state="visible" r:id="rId9"/>
    <sheet sheetId="7" name="③ 고정비 설정" state="visible" r:id="rId10"/>
    <sheet sheetId="8" name="⚠ 확인 필요" state="visible" r:id="rId11"/>
  </sheets>
  <calcPr calcId="171027"/>
</workbook>
</file>

<file path=xl/sharedStrings.xml><?xml version="1.0" encoding="utf-8"?>
<sst xmlns="http://schemas.openxmlformats.org/spreadsheetml/2006/main" count="5361" uniqueCount="595">
  <si>
    <t>📘 EVEREST RESTAURANT GROUP · 메뉴 원가 분석서</t>
  </si>
  <si>
    <t>레시피북 v3 (87종) + 식재료/고정비 DB · v2.0</t>
  </si>
  <si>
    <t>▸  이 파일의 구조</t>
  </si>
  <si>
    <t>① 식재료 단가</t>
  </si>
  <si>
    <t>식재료 118종의 구매가격 → g당 단가. 여기만 고치면 모든 메뉴 원가가 따라 바뀝니다.</t>
  </si>
  <si>
    <t>② 프렙 원가</t>
  </si>
  <si>
    <t>커리 그레이비·탄두리 소스 등 반제품 11종의 g당 원가. 프렙 안에 프렙이 들어가도 자동 계산됩니다.</t>
  </si>
  <si>
    <t>③ 고정비 설정</t>
  </si>
  <si>
    <t>월 고정비·월 추정매출·판정 기준. 고정비 배분율이 여기서 결정됩니다.</t>
  </si>
  <si>
    <t>④ 메뉴 원가표</t>
  </si>
  <si>
    <t>메뉴 87종의 판매가·원가·원가율·마진 한눈에. 판매가만 입력하면 됩니다.</t>
  </si>
  <si>
    <t>⑤ 레시피 상세</t>
  </si>
  <si>
    <t>레시피북과 똑같은 재료·사용량. 한 줄 = 재료 1개의 단일 서식입니다.</t>
  </si>
  <si>
    <t>⑥ 분석 대시보드</t>
  </si>
  <si>
    <t>KPI·카테고리별 원가율·개선 우선순위 TOP10. 전부 수식이라 자동 갱신됩니다.</t>
  </si>
  <si>
    <t>⚠ 확인 필요</t>
  </si>
  <si>
    <t>값이 비었거나 추정한 항목 목록. 채워 넣을수록 정확해집니다.</t>
  </si>
  <si>
    <t>▸  색상 규칙</t>
  </si>
  <si>
    <t>노란 셀</t>
  </si>
  <si>
    <t>직접 입력하는 값 (구매가격, 사용량, 판매가, 고정비 …)</t>
  </si>
  <si>
    <t>회색 셀</t>
  </si>
  <si>
    <t>수식이 자동 계산하는 값 — 덮어쓰지 마세요</t>
  </si>
  <si>
    <t>✅ 양호</t>
  </si>
  <si>
    <t>식재료 원가율이 목표(기본 30%) 이하</t>
  </si>
  <si>
    <t>🟡 주의</t>
  </si>
  <si>
    <t>목표 초과 ~ 주의선(기본 38%) 이하</t>
  </si>
  <si>
    <t>🔴 과다</t>
  </si>
  <si>
    <t>주의선 초과 — 레시피·판매가 재검토 필요</t>
  </si>
  <si>
    <t>▸  계산 방식</t>
  </si>
  <si>
    <t>단가</t>
  </si>
  <si>
    <t>무게 품목: 구매가격 ÷ 총중량(g) → 원/g   ·   개수 품목: 구매가격 ÷ 규격수량 → 원/개</t>
  </si>
  <si>
    <t>재료비</t>
  </si>
  <si>
    <t>사용량 ÷ 수율 × g당 단가   (수율 100% 면 사용량 × 단가)</t>
  </si>
  <si>
    <t>프렙 g당 원가</t>
  </si>
  <si>
    <t>프렙 총 재료비 ÷ 완성중량(g)</t>
  </si>
  <si>
    <t>식재료 원가</t>
  </si>
  <si>
    <t>해당 메뉴의 재료비 전부 합계 (⑤ 시트 SUMIF)</t>
  </si>
  <si>
    <t>공급가액</t>
  </si>
  <si>
    <t>판매가 ÷ 부가세 계수 — 판매가가 부가세 포함이면 실제로 매장에 남는 금액</t>
  </si>
  <si>
    <t>고정비 배분</t>
  </si>
  <si>
    <t>공급가액 × (배분대상 고정비 ÷ 월 매출 공급가액)</t>
  </si>
  <si>
    <t>총원가 / 마진</t>
  </si>
  <si>
    <t>총원가 = 식재료 원가 + 고정비 배분,  마진 = 공급가액 − 총원가</t>
  </si>
  <si>
    <t>원가율·마진율</t>
  </si>
  <si>
    <t>모두 판매가가 아니라 공급가액을 기준으로 계산합니다 (부가세는 매출이 아니므로)</t>
  </si>
  <si>
    <t>▸  꼭 알아두실 점</t>
  </si>
  <si>
    <t>고정비 조정</t>
  </si>
  <si>
    <t>원본 고정비 목록의 「외상 매입금-식재료비(월 1,700만원)」는 메뉴별 식재료 원가에 이미 반영되어 있어 그대로 두면 이중 계산됩니다. 그래서 ③ 시트에서 「제외」로 두었습니다. 포함시키려면 「포함」으로 바꾸면 됩니다.</t>
  </si>
  <si>
    <t>오류 방지</t>
  </si>
  <si>
    <t>모든 나눗셈은 분모가 0이면 0을 돌려주고, 모든 조회는 IFERROR로 감쌌습니다. 재료명을 바꾸거나 지워도 #DIV/0!·#N/A 가 뜨지 않습니다.</t>
  </si>
  <si>
    <t>재료 추가</t>
  </si>
  <si>
    <t>⑤ 시트에서 줄을 복사해 메뉴명·재료명만 바꾸면 됩니다. 재료명은 ① 시트의 이름과 정확히 같아야 단가가 잡힙니다.</t>
  </si>
  <si>
    <t>웹·모바일</t>
  </si>
  <si>
    <t>같은 데이터로 만든 웹 버전에서는 PC·휴대폰 모두에서 단가를 수정하고 이 엑셀을 다시 내려받을 수 있습니다.</t>
  </si>
  <si>
    <t>▸  오픈소스 라이선스 고지</t>
  </si>
  <si>
    <t>ExcelJS (MIT)</t>
  </si>
  <si>
    <t>Copyright (c) 2014-2019 Guyon Roche · https://github.com/exceljs/exceljs — 이 파일을 만드는 데 사용되었습니다. MIT 라이선스 전문은 함께 제공되는 THIRD-PARTY-NOTICES 문서를 참고하세요.</t>
  </si>
  <si>
    <t>① ~ ⑤ 시트의 값이 바뀌면 이 시트도 함께 자동으로 갱신됩니다.</t>
  </si>
  <si>
    <t>전체 메뉴</t>
  </si>
  <si>
    <t>평균 식재료 원가율</t>
  </si>
  <si>
    <t>평균 총원가율</t>
  </si>
  <si>
    <t>평균 마진율</t>
  </si>
  <si>
    <t>고정비 배분율</t>
  </si>
  <si>
    <t>▸  원가율 판정 현황</t>
  </si>
  <si>
    <t>⬜ 판매가 미입력</t>
  </si>
  <si>
    <t>▸  카테고리별 원가 분석</t>
  </si>
  <si>
    <t/>
  </si>
  <si>
    <t>카테고리</t>
  </si>
  <si>
    <t>메뉴수</t>
  </si>
  <si>
    <t>판매가 합계</t>
  </si>
  <si>
    <t>식재료원가</t>
  </si>
  <si>
    <t>원가율</t>
  </si>
  <si>
    <t>고정비배분</t>
  </si>
  <si>
    <t>총원가</t>
  </si>
  <si>
    <t>마진율</t>
  </si>
  <si>
    <t>🍗 치킨 커리</t>
  </si>
  <si>
    <t>🐑 머턴 커리</t>
  </si>
  <si>
    <t>🦐 에그·해산물</t>
  </si>
  <si>
    <t>🥦 채식·달 커리</t>
  </si>
  <si>
    <t>🔥 탄두리·케밥</t>
  </si>
  <si>
    <t>🥟 스낵·사이드</t>
  </si>
  <si>
    <t>🍜 면류</t>
  </si>
  <si>
    <t>🍲 수프</t>
  </si>
  <si>
    <t>🫓 브레드</t>
  </si>
  <si>
    <t>🍚 밥류</t>
  </si>
  <si>
    <t>🥗 샐러드</t>
  </si>
  <si>
    <t>🍮 디저트</t>
  </si>
  <si>
    <t>🥤 음료</t>
  </si>
  <si>
    <t>🍽 세트메뉴</t>
  </si>
  <si>
    <t>▸  식재료 원가율 상위 10  (개선 우선순위)</t>
  </si>
  <si>
    <t>순위</t>
  </si>
  <si>
    <t>메뉴명</t>
  </si>
  <si>
    <t>판매가</t>
  </si>
  <si>
    <t>원가율 하위 10 (효자 메뉴)</t>
  </si>
  <si>
    <t>메뉴 87개 전체. 판매가(노란 셀)만 고치면 원가율·마진이 즉시 다시 계산됩니다.</t>
  </si>
  <si>
    <t>💡  공급가액 = 판매가 ÷ 부가세 계수 (③ 시트).  원가율·마진은 모두 공급가액 기준입니다.  고정비 배분 = 공급가액 × 고정비 배분율.  총원가 = 식재료원가 + 고정비 배분.</t>
  </si>
  <si>
    <t>No.</t>
  </si>
  <si>
    <t>판매가(원)</t>
  </si>
  <si>
    <t xml:space="preserve">식재료
원가율</t>
  </si>
  <si>
    <t>총원가율</t>
  </si>
  <si>
    <t>마진(원)</t>
  </si>
  <si>
    <t>판정</t>
  </si>
  <si>
    <t>정렬키</t>
  </si>
  <si>
    <t>버터 치킨</t>
  </si>
  <si>
    <t>베이비 커리</t>
  </si>
  <si>
    <t>스페셜 커리치킨</t>
  </si>
  <si>
    <t>진저 치킨</t>
  </si>
  <si>
    <t>치킨 마살라</t>
  </si>
  <si>
    <t>치킨 빈달루</t>
  </si>
  <si>
    <t>치킨 커리</t>
  </si>
  <si>
    <t>치킨 코르마</t>
  </si>
  <si>
    <t>치킨 티카 마살라</t>
  </si>
  <si>
    <t>치킨머커니</t>
  </si>
  <si>
    <t>커다이 치킨</t>
  </si>
  <si>
    <t>머턴 도 피아자</t>
  </si>
  <si>
    <t>머턴 마살라</t>
  </si>
  <si>
    <t>머턴 빈달루</t>
  </si>
  <si>
    <t>머턴 아차르</t>
  </si>
  <si>
    <t>머턴 커리</t>
  </si>
  <si>
    <t>머턴 코르마</t>
  </si>
  <si>
    <t>에그 커리</t>
  </si>
  <si>
    <t>프라운 칠리 커리</t>
  </si>
  <si>
    <t>프라운커리</t>
  </si>
  <si>
    <t>해산물 빈달루</t>
  </si>
  <si>
    <t>달 머커니</t>
  </si>
  <si>
    <t>달 터드카</t>
  </si>
  <si>
    <t>마타 퍼니르</t>
  </si>
  <si>
    <t>머라이 코프타</t>
  </si>
  <si>
    <t>머쉬룸 커리</t>
  </si>
  <si>
    <t>모듬 야채 커리</t>
  </si>
  <si>
    <t>알루 고비</t>
  </si>
  <si>
    <t>알루 펄럭</t>
  </si>
  <si>
    <t>야채 나바라탄 코르마</t>
  </si>
  <si>
    <t>쩌나 마살라</t>
  </si>
  <si>
    <t>커다이 퍼니르</t>
  </si>
  <si>
    <t>퍼니르 버터 마살라</t>
  </si>
  <si>
    <t>펄럭 퍼니르</t>
  </si>
  <si>
    <t>머턴 세꾸와</t>
  </si>
  <si>
    <t>믹스 탄두리 플래터</t>
  </si>
  <si>
    <t>치킨 멀라이 케밥</t>
  </si>
  <si>
    <t>치킨 시크 케밥</t>
  </si>
  <si>
    <t>치킨 탕그리 케밥</t>
  </si>
  <si>
    <t>치킨 티카</t>
  </si>
  <si>
    <t>탄두리치킨(반마리)</t>
  </si>
  <si>
    <t>탄두리치킨(한마리)</t>
  </si>
  <si>
    <t>드라이 파펃</t>
  </si>
  <si>
    <t>마살라 파펃</t>
  </si>
  <si>
    <t>모모</t>
  </si>
  <si>
    <t>사모사</t>
  </si>
  <si>
    <t>스프링롤</t>
  </si>
  <si>
    <t>알루덤</t>
  </si>
  <si>
    <t>졸 모모</t>
  </si>
  <si>
    <t>치킨 칠리</t>
  </si>
  <si>
    <t>퍼니르 퍼코다</t>
  </si>
  <si>
    <t>퍼코다</t>
  </si>
  <si>
    <t>프렌치 프라이</t>
  </si>
  <si>
    <t>뚝파</t>
  </si>
  <si>
    <t>베지 자오미엔</t>
  </si>
  <si>
    <t>자오미엔</t>
  </si>
  <si>
    <t>머쉬룸 스프</t>
  </si>
  <si>
    <t>치킨 스프</t>
  </si>
  <si>
    <t>핫&amp;사워 스프</t>
  </si>
  <si>
    <t>갈릭 난</t>
  </si>
  <si>
    <t>굴자빵</t>
  </si>
  <si>
    <t>버터 난</t>
  </si>
  <si>
    <t>알루 파라타</t>
  </si>
  <si>
    <t>치즈 난</t>
  </si>
  <si>
    <t>탄두리 로티</t>
  </si>
  <si>
    <t>플레인 난</t>
  </si>
  <si>
    <t>허니 난</t>
  </si>
  <si>
    <t>머턴 브리아니</t>
  </si>
  <si>
    <t>바스마티 라이스</t>
  </si>
  <si>
    <t>베지 플로우</t>
  </si>
  <si>
    <t>지라 라이스</t>
  </si>
  <si>
    <t>치킨 브리아니</t>
  </si>
  <si>
    <t>그린 샐러드</t>
  </si>
  <si>
    <t>아마 타마타라 샐러드</t>
  </si>
  <si>
    <t>탄두리 티카 샐러드</t>
  </si>
  <si>
    <t>굴랍자문</t>
  </si>
  <si>
    <t>더히</t>
  </si>
  <si>
    <t>라스굴라</t>
  </si>
  <si>
    <t>라이따</t>
  </si>
  <si>
    <t>네팔 찌야</t>
  </si>
  <si>
    <t>딸기 라씨</t>
  </si>
  <si>
    <t>마살라 찌야</t>
  </si>
  <si>
    <t>망고 라씨</t>
  </si>
  <si>
    <t>플레인 라씨</t>
  </si>
  <si>
    <t>A set (2인)</t>
  </si>
  <si>
    <t>B set (3인)</t>
  </si>
  <si>
    <t>C set (3인)</t>
  </si>
  <si>
    <t>합 계 / 가중평균</t>
  </si>
  <si>
    <t>⑤ 레시피 상세 원가</t>
  </si>
  <si>
    <t>레시피북과 동일한 재료·사용량. 한 줄 = 재료 1개. 사용량·수율만 고치면 메뉴 원가가 자동 갱신됩니다.</t>
  </si>
  <si>
    <t>💡  재료비 = 사용량 ÷ 수율 × g당 단가.   구분이 「메뉴」인 줄(세트메뉴 구성품)은 = 수량 × 해당 단품의 식재료 원가.   「무료」는 수돗물 등 원가 0.</t>
  </si>
  <si>
    <t>순번</t>
  </si>
  <si>
    <t>구분</t>
  </si>
  <si>
    <t>재료 / 구성</t>
  </si>
  <si>
    <t>레시피북 표기</t>
  </si>
  <si>
    <t>사용량</t>
  </si>
  <si>
    <t>단위</t>
  </si>
  <si>
    <t>수율</t>
  </si>
  <si>
    <t>g당 단가(원)</t>
  </si>
  <si>
    <t>재료비(원)</t>
  </si>
  <si>
    <t>비고</t>
  </si>
  <si>
    <t>식재료</t>
  </si>
  <si>
    <t>닭 09호</t>
  </si>
  <si>
    <t>닭 (09호)</t>
  </si>
  <si>
    <t>g</t>
  </si>
  <si>
    <t>탄두리로 미리 구운 것</t>
  </si>
  <si>
    <t>프렙</t>
  </si>
  <si>
    <t>커리 그레이비 소스</t>
  </si>
  <si>
    <t>사전 조리된 베이스</t>
  </si>
  <si>
    <t>ASEEL PURE GHEE</t>
  </si>
  <si>
    <t>ASEEL PURE GHEE (버터)</t>
  </si>
  <si>
    <t>풍미용</t>
  </si>
  <si>
    <t>데어리쿠킹크림</t>
  </si>
  <si>
    <t>꽃소금</t>
  </si>
  <si>
    <t>설탕</t>
  </si>
  <si>
    <t>단맛 밸런스</t>
  </si>
  <si>
    <t>부라보</t>
  </si>
  <si>
    <t>버터</t>
  </si>
  <si>
    <t>큐브 조각</t>
  </si>
  <si>
    <t>가슴 대한</t>
  </si>
  <si>
    <t>닭가슴살 (정육)</t>
  </si>
  <si>
    <t>작게 썰기</t>
  </si>
  <si>
    <t>베이비커리</t>
  </si>
  <si>
    <t>베이비커리 소스</t>
  </si>
  <si>
    <t>코코넛-캐슈 베이스</t>
  </si>
  <si>
    <t>멸균우유</t>
  </si>
  <si>
    <t>농도 조절</t>
  </si>
  <si>
    <t>깍뚝썰기</t>
  </si>
  <si>
    <t>캐슈넛</t>
  </si>
  <si>
    <t>계란</t>
  </si>
  <si>
    <t>삶아서 반으로 자르기</t>
  </si>
  <si>
    <t>통생강</t>
  </si>
  <si>
    <t>곱게 채 썰기</t>
  </si>
  <si>
    <t>옥수수전분</t>
  </si>
  <si>
    <t>튀김 코팅</t>
  </si>
  <si>
    <t>식용유</t>
  </si>
  <si>
    <t>적당량(20g 추정)</t>
  </si>
  <si>
    <t>튀김용</t>
  </si>
  <si>
    <t>토마토</t>
  </si>
  <si>
    <t>다지기</t>
  </si>
  <si>
    <t>청양고추</t>
  </si>
  <si>
    <t>어슷썰기</t>
  </si>
  <si>
    <t>완두콩</t>
  </si>
  <si>
    <t>베트남(고추가루)</t>
  </si>
  <si>
    <t>베트남 고추가루</t>
  </si>
  <si>
    <t>고운 고추가루</t>
  </si>
  <si>
    <t>Clove powder</t>
  </si>
  <si>
    <t>Clove powder (정향가루)</t>
  </si>
  <si>
    <t>토마토홀</t>
  </si>
  <si>
    <t>으깨기</t>
  </si>
  <si>
    <t>고수</t>
  </si>
  <si>
    <t>고수(고수잎)</t>
  </si>
  <si>
    <t>장식용</t>
  </si>
  <si>
    <t>간 맞추기</t>
  </si>
  <si>
    <t>볶음용</t>
  </si>
  <si>
    <t>닭 가슴살</t>
  </si>
  <si>
    <t>탄두리 마리네이드 후 구운 것</t>
  </si>
  <si>
    <t>탄두리 소스</t>
  </si>
  <si>
    <t>마리네이드용</t>
  </si>
  <si>
    <t>티카머설라 가루</t>
  </si>
  <si>
    <t>티카 마살라 파우더</t>
  </si>
  <si>
    <t>베이스 소스</t>
  </si>
  <si>
    <t>치즈</t>
  </si>
  <si>
    <t>치즈 (퍼니르)</t>
  </si>
  <si>
    <t>으깨거나 슬라이스</t>
  </si>
  <si>
    <t>체리알</t>
  </si>
  <si>
    <t>고수잎</t>
  </si>
  <si>
    <t>청피망</t>
  </si>
  <si>
    <t>채 썰기</t>
  </si>
  <si>
    <t>웨지 컷</t>
  </si>
  <si>
    <t>베트남(건고추)</t>
  </si>
  <si>
    <t>베트남 건고추</t>
  </si>
  <si>
    <t>CUMIN SEED WHOLE</t>
  </si>
  <si>
    <t>CORRIANDER WHOLE(MEHRAN)</t>
  </si>
  <si>
    <t>CORRIANDER WHOLE</t>
  </si>
  <si>
    <t>양사태살</t>
  </si>
  <si>
    <t>양파</t>
  </si>
  <si>
    <t>2차 볶음용 - 크게 자르기</t>
  </si>
  <si>
    <t>강한 매운맛</t>
  </si>
  <si>
    <t>정향 파우더</t>
  </si>
  <si>
    <t>CHAAT MASALA (MEHRAN)</t>
  </si>
  <si>
    <t>CHAAT MASALA</t>
  </si>
  <si>
    <t>네팔식 피클 향신료</t>
  </si>
  <si>
    <t>얇게 썰기</t>
  </si>
  <si>
    <t>환만식초</t>
  </si>
  <si>
    <t>캐슈넛 페이스트</t>
  </si>
  <si>
    <t>완숙으로 삶기</t>
  </si>
  <si>
    <t>장식</t>
  </si>
  <si>
    <t>찐새우살</t>
  </si>
  <si>
    <t>해동 후 물기 제거</t>
  </si>
  <si>
    <t>기</t>
  </si>
  <si>
    <t>해물모듬</t>
  </si>
  <si>
    <t>해물 모듬 (새우, 오징어, 홍합 등)</t>
  </si>
  <si>
    <t>빈달루 특성</t>
  </si>
  <si>
    <t>달머커니 소스</t>
  </si>
  <si>
    <t>검은 렌즈콩 베이스</t>
  </si>
  <si>
    <t>렌즈콩 베이스</t>
  </si>
  <si>
    <t>통마늘</t>
  </si>
  <si>
    <t>TURMERIC POWDER</t>
  </si>
  <si>
    <t>강황가루</t>
  </si>
  <si>
    <t>커민씨드</t>
  </si>
  <si>
    <t>퍼니르 (치즈)</t>
  </si>
  <si>
    <t>냉동 사용 가능</t>
  </si>
  <si>
    <t>감자</t>
  </si>
  <si>
    <t>삶아서 으깨기</t>
  </si>
  <si>
    <t>중2등급 밀가루</t>
  </si>
  <si>
    <t>코프타 반죽</t>
  </si>
  <si>
    <t>새송이 버섯</t>
  </si>
  <si>
    <t>두께 1cm로 슬라이스</t>
  </si>
  <si>
    <t>FROZEN MIXED VEGETABLE</t>
  </si>
  <si>
    <t>냉동 믹스 야채</t>
  </si>
  <si>
    <t>FROZEN CAULI FLOWER</t>
  </si>
  <si>
    <t>냉동 콜리플라워</t>
  </si>
  <si>
    <t>먹기 좋게 자르기</t>
  </si>
  <si>
    <t>펄럭(시금치) 소스</t>
  </si>
  <si>
    <t>갈아서 페이스트</t>
  </si>
  <si>
    <t>병아리콩</t>
  </si>
  <si>
    <t>병아리콩 (삶은 것)</t>
  </si>
  <si>
    <t>전날 불려서 삶기</t>
  </si>
  <si>
    <t>두껍게 썰기</t>
  </si>
  <si>
    <t>단맛 조절</t>
  </si>
  <si>
    <t>퍼니르(치즈)</t>
  </si>
  <si>
    <t>2cm 깍뚝썰기</t>
  </si>
  <si>
    <t>큰 조각</t>
  </si>
  <si>
    <t>CUMIN powder</t>
  </si>
  <si>
    <t>머튼마살라 파우더</t>
  </si>
  <si>
    <t>머튼 마살라 파우더</t>
  </si>
  <si>
    <t>MURI</t>
  </si>
  <si>
    <t>MURI (쌀튀밥)</t>
  </si>
  <si>
    <t>서빙용</t>
  </si>
  <si>
    <t>MIXED PICKLE</t>
  </si>
  <si>
    <t>당근</t>
  </si>
  <si>
    <t>슬라이스</t>
  </si>
  <si>
    <t>오이</t>
  </si>
  <si>
    <t>탄두리용</t>
  </si>
  <si>
    <t>정육(부위 닭)</t>
  </si>
  <si>
    <t>닭 (부위 정육)</t>
  </si>
  <si>
    <t>멀라이 케밥용</t>
  </si>
  <si>
    <t>탈각새우31/40</t>
  </si>
  <si>
    <t>탈각새우 31/40</t>
  </si>
  <si>
    <t>치킨마살라 파우더</t>
  </si>
  <si>
    <t>치킨 마살라 파우더</t>
  </si>
  <si>
    <t>백후추가루</t>
  </si>
  <si>
    <t>양상추</t>
  </si>
  <si>
    <t>큰 조각으로 썰기</t>
  </si>
  <si>
    <t>탄두리 샐러드</t>
  </si>
  <si>
    <t>탄두리 샐라드</t>
  </si>
  <si>
    <t>곱게 다지기</t>
  </si>
  <si>
    <t>마리네이드</t>
  </si>
  <si>
    <t>마요네즈 소스</t>
  </si>
  <si>
    <t>북채</t>
  </si>
  <si>
    <t>닭 (닭다리)</t>
  </si>
  <si>
    <t>드럼스틱 또는 큰 조각</t>
  </si>
  <si>
    <t>레몬</t>
  </si>
  <si>
    <t>한 입 크기로 자르기</t>
  </si>
  <si>
    <t>반마리 - 칼집 내기</t>
  </si>
  <si>
    <t>양배추</t>
  </si>
  <si>
    <t>한마리 - 칼집 내기</t>
  </si>
  <si>
    <t>BIKAJI PAPAD DIL_KUSH</t>
  </si>
  <si>
    <t>인도식 크래커</t>
  </si>
  <si>
    <t>즙 사용</t>
  </si>
  <si>
    <t>땅콩</t>
  </si>
  <si>
    <t>고급 밀가루</t>
  </si>
  <si>
    <t>반죽용</t>
  </si>
  <si>
    <t>정육 (닭)</t>
  </si>
  <si>
    <t>치킨/머턴 마살라 파우더</t>
  </si>
  <si>
    <t>스프링롤 페스트리</t>
  </si>
  <si>
    <t>스프링롤 페이스트리</t>
  </si>
  <si>
    <t>스파게티면</t>
  </si>
  <si>
    <t>스파게티 면 (삶은 것)</t>
  </si>
  <si>
    <t>쪽파</t>
  </si>
  <si>
    <t>반 잘라서 튀기기</t>
  </si>
  <si>
    <t>아차르 소스용</t>
  </si>
  <si>
    <t>얼큰한 맛</t>
  </si>
  <si>
    <t>튀김 반죽</t>
  </si>
  <si>
    <t>간장</t>
  </si>
  <si>
    <t>딥/칠리/스위트 소스</t>
  </si>
  <si>
    <t>케찹스파우트</t>
  </si>
  <si>
    <t>두꺼운 슬라이스</t>
  </si>
  <si>
    <t>BESAN(SUNNY)</t>
  </si>
  <si>
    <t>BESAN (병아리콩 가루)</t>
  </si>
  <si>
    <t>주름감자(프렌치프라이)</t>
  </si>
  <si>
    <t>주름감자 (프렌치프라이용)</t>
  </si>
  <si>
    <t>냉동 제품 사용</t>
  </si>
  <si>
    <t>케찹 스파우트</t>
  </si>
  <si>
    <t>서빙용 소스</t>
  </si>
  <si>
    <t>마무리용</t>
  </si>
  <si>
    <t>얇게 슬라이스</t>
  </si>
  <si>
    <t>흑후추가루</t>
  </si>
  <si>
    <t>소스용</t>
  </si>
  <si>
    <t>크림스프</t>
  </si>
  <si>
    <t>크림스프 파우더</t>
  </si>
  <si>
    <t>잘게 다지기</t>
  </si>
  <si>
    <t>무료</t>
  </si>
  <si>
    <t>물</t>
  </si>
  <si>
    <t>물 또는 채소 육수</t>
  </si>
  <si>
    <t>물 또는 닭 육수</t>
  </si>
  <si>
    <t>풀어두기</t>
  </si>
  <si>
    <t>농도용</t>
  </si>
  <si>
    <t>신맛</t>
  </si>
  <si>
    <t>닭 육수 또는 물</t>
  </si>
  <si>
    <t>베이킹 파우더</t>
  </si>
  <si>
    <t>청포도</t>
  </si>
  <si>
    <t>반으로 자르기</t>
  </si>
  <si>
    <t>요거트</t>
  </si>
  <si>
    <t>반죽 및 마무리용</t>
  </si>
  <si>
    <t>모자렐라치즈</t>
  </si>
  <si>
    <t>FERDAUS CHAKKI FRESH ATTA</t>
  </si>
  <si>
    <t>통밀가루 (아타)</t>
  </si>
  <si>
    <t>미지근하게</t>
  </si>
  <si>
    <t>선택사항</t>
  </si>
  <si>
    <t>허니 (꿀)</t>
  </si>
  <si>
    <t>MEHRAN BASMATI RICE</t>
  </si>
  <si>
    <t>바스마티 쌀</t>
  </si>
  <si>
    <t>불리기</t>
  </si>
  <si>
    <t>캐러멜라이즈</t>
  </si>
  <si>
    <t>머턴 마살라 파우더</t>
  </si>
  <si>
    <t>사프란</t>
  </si>
  <si>
    <t>따뜻한 물에 우리기</t>
  </si>
  <si>
    <t>고수잎·박하잎</t>
  </si>
  <si>
    <t>씻어서 30분 불리기</t>
  </si>
  <si>
    <t>선택사항 - 노란색 착색</t>
  </si>
  <si>
    <t>코코넛 파우더</t>
  </si>
  <si>
    <t>CUMIN SEED WHOLE (커민씨드)</t>
  </si>
  <si>
    <t>고수잎·</t>
  </si>
  <si>
    <t>손으로 뜯기</t>
  </si>
  <si>
    <t>키위드레싱소스</t>
  </si>
  <si>
    <t>양상추·로메인</t>
  </si>
  <si>
    <t>방울토마토</t>
  </si>
  <si>
    <t>반 자르기</t>
  </si>
  <si>
    <t>망고슬라이스</t>
  </si>
  <si>
    <t>망고 슬라이스</t>
  </si>
  <si>
    <t>파프리카</t>
  </si>
  <si>
    <t>크루통 (파펃 조각)</t>
  </si>
  <si>
    <t>바삭하게 구운 것</t>
  </si>
  <si>
    <t>탄두리 그릴용</t>
  </si>
  <si>
    <t>파인애플</t>
  </si>
  <si>
    <t>오이피클</t>
  </si>
  <si>
    <t>GULAB JAMUN</t>
  </si>
  <si>
    <t>준비된 제품 사용</t>
  </si>
  <si>
    <t>요거트 소스</t>
  </si>
  <si>
    <t>BIKAJI RASGULLA</t>
  </si>
  <si>
    <t>요거트(더히)</t>
  </si>
  <si>
    <t>LIPTON TEA(찌야)</t>
  </si>
  <si>
    <t>냉동딸기</t>
  </si>
  <si>
    <t>냉동 딸기</t>
  </si>
  <si>
    <t>해동</t>
  </si>
  <si>
    <t>계피가루</t>
  </si>
  <si>
    <t>또는 망고 퓨레</t>
  </si>
  <si>
    <t>라씨 베이스</t>
  </si>
  <si>
    <t>물 또는 우유</t>
  </si>
  <si>
    <t>메뉴</t>
  </si>
  <si>
    <t>치킨 커리 또는 베지 커리</t>
  </si>
  <si>
    <t>개</t>
  </si>
  <si>
    <t>메인 커리 선택</t>
  </si>
  <si>
    <t>머턴 커리 또는 달 머커니</t>
  </si>
  <si>
    <t>밥 (바스마티 라이스)</t>
  </si>
  <si>
    <t>더히 (요거트)</t>
  </si>
  <si>
    <t>메인 커리 (치킨/머턴/베지)</t>
  </si>
  <si>
    <t>선택</t>
  </si>
  <si>
    <t>스타터 (사모사 또는 모모)</t>
  </si>
  <si>
    <t>밥</t>
  </si>
  <si>
    <t>샐러드</t>
  </si>
  <si>
    <t>탄두리 요리 (티카 또는 케밥)</t>
  </si>
  <si>
    <t>플레인 난 또는 버터 난</t>
  </si>
  <si>
    <t>디저트 (굴랍자문 또는 라스굴라)</t>
  </si>
  <si>
    <t>노란 셀(구매가격·규격)만 수정하세요. 단가와 전체 메뉴 원가가 자동으로 다시 계산됩니다.</t>
  </si>
  <si>
    <t>💡  무게로 사는 것은 단가 = 구매가격 ÷ 총중량(g).  캔·포장용기처럼 개수로 사는 것은 단가 = 구매가격 ÷ 규격수량(원/개).</t>
  </si>
  <si>
    <t>식재료명</t>
  </si>
  <si>
    <t>구매가격(원)</t>
  </si>
  <si>
    <t>규격수량</t>
  </si>
  <si>
    <t>총중량(g)</t>
  </si>
  <si>
    <t>단가 (원/g·원/개)</t>
  </si>
  <si>
    <t>kg</t>
  </si>
  <si>
    <t>국내산쌀</t>
  </si>
  <si>
    <t>통계피</t>
  </si>
  <si>
    <t>싱싱락교</t>
  </si>
  <si>
    <t>딸기잼</t>
  </si>
  <si>
    <t>⚠ 구매가격 입력 필요</t>
  </si>
  <si>
    <t>미원</t>
  </si>
  <si>
    <t>유미락스</t>
  </si>
  <si>
    <t>통염소</t>
  </si>
  <si>
    <t>DAL CHANA (SUNNY)</t>
  </si>
  <si>
    <t>MASOOR DAL WASHED (SUNNY)</t>
  </si>
  <si>
    <t>KASURI METHI LEAVES (MEHRAN)</t>
  </si>
  <si>
    <t>참기름</t>
  </si>
  <si>
    <t>콜라_24개</t>
  </si>
  <si>
    <t>⚠ 총중량(g) 입력 필요 — 개수 품목이면 「개수 단위」로 바꾸세요</t>
  </si>
  <si>
    <t>사이다_24개</t>
  </si>
  <si>
    <t>닭 13호</t>
  </si>
  <si>
    <t>근위(똥집)</t>
  </si>
  <si>
    <t>열탄</t>
  </si>
  <si>
    <t>호박씨</t>
  </si>
  <si>
    <t>캡사이신 550g x 12</t>
  </si>
  <si>
    <t>CLASSIC (CHAKKI) ATTA 5kgx4</t>
  </si>
  <si>
    <t>ACHAR GOSHT MASALA(MEHRAN)</t>
  </si>
  <si>
    <t>DESICATTED COCONUT</t>
  </si>
  <si>
    <t>제로콜라 x 24</t>
  </si>
  <si>
    <t>달럽프라이드</t>
  </si>
  <si>
    <t>죽순편</t>
  </si>
  <si>
    <t>시금치</t>
  </si>
  <si>
    <t>무우</t>
  </si>
  <si>
    <t>트위스트미니(배달)</t>
  </si>
  <si>
    <t>트위스트소(배달)</t>
  </si>
  <si>
    <t>HG305(배달)</t>
  </si>
  <si>
    <t>카다멈</t>
  </si>
  <si>
    <t>시금치(냉동) spinarch</t>
  </si>
  <si>
    <t>치즈난 분말치즈</t>
  </si>
  <si>
    <t>② 프렙(반제품) 원가</t>
  </si>
  <si>
    <t>커리 그레이비·탄두리 소스처럼 미리 만들어 두는 반제품의 g당 원가입니다. 투입량과 완성중량만 고치면 됩니다.</t>
  </si>
  <si>
    <t>💡  g당 원가 = 총 재료비 ÷ 완성중량(g).  아래 [투입 재료 상세]의 투입량을 바꾸면 총 재료비가 자동 반영됩니다.</t>
  </si>
  <si>
    <t>프렙 제품명</t>
  </si>
  <si>
    <t>완성중량(g)</t>
  </si>
  <si>
    <t>총 재료비(원)</t>
  </si>
  <si>
    <t>g당 원가(원)</t>
  </si>
  <si>
    <t>투입중량(g)</t>
  </si>
  <si>
    <t>마늘생강 페이스트</t>
  </si>
  <si>
    <t>고수 소스</t>
  </si>
  <si>
    <t>라씨</t>
  </si>
  <si>
    <t>▸  투입 재료 상세  ─  투입량(노란 셀)만 수정하세요</t>
  </si>
  <si>
    <t>재료명</t>
  </si>
  <si>
    <t>투입량(g)</t>
  </si>
  <si>
    <t>월 고정비와 월 추정매출을 입력하면, 메뉴별 고정비 배분액이 판매가에 비례해 자동 계산됩니다.</t>
  </si>
  <si>
    <t>💡  메뉴 1개당 고정비 배분 = 판매가 × (배분대상 고정비 합계 ÷ 월 추정매출)</t>
  </si>
  <si>
    <t>비용 항목</t>
  </si>
  <si>
    <t>월간 금액(원)</t>
  </si>
  <si>
    <t>배분 포함</t>
  </si>
  <si>
    <t>내용 / 비고</t>
  </si>
  <si>
    <t>급여</t>
  </si>
  <si>
    <t>포함</t>
  </si>
  <si>
    <t>임금</t>
  </si>
  <si>
    <t>세금·지방세</t>
  </si>
  <si>
    <t>세금신고 + 지방세</t>
  </si>
  <si>
    <t>4대 보험료</t>
  </si>
  <si>
    <t>사업장 4대 보험 (사용자 부담분)</t>
  </si>
  <si>
    <t>유틸리티</t>
  </si>
  <si>
    <t>수도·전기·가스</t>
  </si>
  <si>
    <t>부가가치세</t>
  </si>
  <si>
    <t>배달의민족·쿠팡이츠 등</t>
  </si>
  <si>
    <t>포장 용품비</t>
  </si>
  <si>
    <t>포장재료비</t>
  </si>
  <si>
    <t>임대 및 광고비</t>
  </si>
  <si>
    <t>임대료, 인터넷 마케팅, 대리운전 광고 등</t>
  </si>
  <si>
    <t>외상 매입금-식재료비</t>
  </si>
  <si>
    <t>제외</t>
  </si>
  <si>
    <t>식재료 원가로 이미 반영 → 고정비 배분에서 제외 (필요 시 포함으로 변경)</t>
  </si>
  <si>
    <t>주류대금</t>
  </si>
  <si>
    <t>주류구입</t>
  </si>
  <si>
    <t>세무·장부 수수료</t>
  </si>
  <si>
    <t>세무신고 + 증빙 수수료</t>
  </si>
  <si>
    <t>기타 관리비</t>
  </si>
  <si>
    <t>잡비 기타</t>
  </si>
  <si>
    <t>통신비</t>
  </si>
  <si>
    <t>KT 등 통신</t>
  </si>
  <si>
    <t>식재료 공급 계약비</t>
  </si>
  <si>
    <t>고정비 총계</t>
  </si>
  <si>
    <t>입력한 모든 항목의 합계</t>
  </si>
  <si>
    <t>배분 대상 합계</t>
  </si>
  <si>
    <t>「배분 포함」인 항목만 합산 → 메뉴 원가에 반영</t>
  </si>
  <si>
    <t>▸  부가세 · 배분 · 판정 기준 설정</t>
  </si>
  <si>
    <t>부가세 처리</t>
  </si>
  <si>
    <t>판매가가 손님이 내는 금액이면 「포함」, 공급가액이면 「별도」</t>
  </si>
  <si>
    <t>부가세율</t>
  </si>
  <si>
    <t>「포함」일 때만 사용 (면세면 0%)</t>
  </si>
  <si>
    <t>부가세 계수</t>
  </si>
  <si>
    <t>판매가 ÷ 이 값 = 공급가액</t>
  </si>
  <si>
    <t>월 추정매출(원)</t>
  </si>
  <si>
    <t>배달 포함 월 총매출 (부가세 처리 기준과 동일하게 입력)</t>
  </si>
  <si>
    <t>월 매출 (공급가액)</t>
  </si>
  <si>
    <t>= 월 추정매출 ÷ 부가세 계수</t>
  </si>
  <si>
    <t>= 배분 대상 합계 ÷ 월 매출(공급가액)</t>
  </si>
  <si>
    <t>목표 식재료 원가율</t>
  </si>
  <si>
    <t>이하이면 ✅ 양호</t>
  </si>
  <si>
    <t>주의 식재료 원가율</t>
  </si>
  <si>
    <t>초과하면 🔴 과다</t>
  </si>
  <si>
    <t>⚠ 확인 필요 항목</t>
  </si>
  <si>
    <t>원본 자료에서 값이 비었거나 추정이 들어간 부분입니다. 실제 값으로 채우면 정확도가 올라갑니다.</t>
  </si>
  <si>
    <t>메뉴 / 대상</t>
  </si>
  <si>
    <t>항목</t>
  </si>
  <si>
    <t>설명 및 조치</t>
  </si>
  <si>
    <t>사용량 추정</t>
  </si>
  <si>
    <t>원본에 "적당량"으로 기재 → 20g 으로 가정. 실제값으로 수정하세요.</t>
  </si>
  <si>
    <t>판매가 없음</t>
  </si>
  <si>
    <t>-</t>
  </si>
  <si>
    <t>④ 메뉴 원가표에서 판매가를 입력하세요. 입력 전까지 원가율은 계산되지 않습니다.</t>
  </si>
  <si>
    <t>식재료 단가 미입력</t>
  </si>
  <si>
    <t>구매가격이 0원입니다. 실제 단가를 입력하세요.</t>
  </si>
  <si>
    <t>식재료 규격 미입력</t>
  </si>
  <si>
    <t>중량(g)이 0이라 g당 단가를 계산할 수 없습니다.</t>
  </si>
  <si>
    <t>고정비 이중계상 조정</t>
  </si>
  <si>
    <t>월 17,000,000원. 메뉴 식재료 원가에 이미 포함되어 있어 고정비 배분 대상에서 제외했습니다.</t>
  </si>
  <si>
    <t>월 256,800원. 메뉴 식재료 원가에 이미 포함되어 있어 고정비 배분 대상에서 제외했습니다.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</si>
</sst>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0.000000"/>
    <numFmt numFmtId="166" formatCode="#,##0.##"/>
    <numFmt numFmtId="167" formatCode="#,##0.000"/>
    <numFmt numFmtId="168" formatCode="#,##0.0"/>
    <numFmt numFmtId="169" formatCode="#,##0.###"/>
    <numFmt numFmtId="170" formatCode="0.000"/>
  </numFmts>
  <fonts count="33" x14ac:knownFonts="1">
    <font>
      <color theme="1"/>
      <family val="2"/>
      <scheme val="minor"/>
      <sz val="11"/>
      <name val="Calibri"/>
    </font>
    <font>
      <b/>
      <color rgb="FFFFFFFF"/>
      <sz val="16"/>
      <name val="맑은 고딕"/>
    </font>
    <font>
      <color rgb="FF64748B"/>
      <sz val="9.5"/>
      <name val="맑은 고딕"/>
    </font>
    <font>
      <b/>
      <color rgb="FFFFFFFF"/>
      <sz val="11"/>
      <name val="맑은 고딕"/>
    </font>
    <font>
      <b/>
      <color rgb="FF0F766E"/>
      <sz val="10"/>
      <name val="맑은 고딕"/>
    </font>
    <font>
      <color rgb="FF1E293B"/>
      <sz val="10"/>
      <name val="맑은 고딕"/>
    </font>
    <font>
      <b/>
      <color rgb="FF92400E"/>
      <sz val="10"/>
      <name val="맑은 고딕"/>
    </font>
    <font>
      <b/>
      <color rgb="FF1E293B"/>
      <sz val="10"/>
      <name val="맑은 고딕"/>
    </font>
    <font>
      <b/>
      <color rgb="FF047857"/>
      <sz val="10"/>
      <name val="맑은 고딕"/>
    </font>
    <font>
      <b/>
      <color rgb="FFB45309"/>
      <sz val="10"/>
      <name val="맑은 고딕"/>
    </font>
    <font>
      <b/>
      <color rgb="FFB91C1C"/>
      <sz val="10"/>
      <name val="맑은 고딕"/>
    </font>
    <font>
      <b/>
      <color rgb="FFFFFFFF"/>
      <sz val="9"/>
      <name val="맑은 고딕"/>
    </font>
    <font>
      <b/>
      <color rgb="FF0F172A"/>
      <sz val="18"/>
      <name val="맑은 고딕"/>
    </font>
    <font>
      <b/>
      <color rgb="FF047857"/>
      <sz val="11"/>
      <name val="맑은 고딕"/>
    </font>
    <font>
      <color rgb="FF047857"/>
      <sz val="10"/>
      <name val="맑은 고딕"/>
    </font>
    <font>
      <b/>
      <color rgb="FFB45309"/>
      <sz val="11"/>
      <name val="맑은 고딕"/>
    </font>
    <font>
      <color rgb="FFB45309"/>
      <sz val="10"/>
      <name val="맑은 고딕"/>
    </font>
    <font>
      <b/>
      <color rgb="FFB91C1C"/>
      <sz val="11"/>
      <name val="맑은 고딕"/>
    </font>
    <font>
      <color rgb="FFB91C1C"/>
      <sz val="10"/>
      <name val="맑은 고딕"/>
    </font>
    <font>
      <b/>
      <color rgb="FF64748B"/>
      <sz val="10"/>
      <name val="맑은 고딕"/>
    </font>
    <font>
      <b/>
      <color rgb="FF64748B"/>
      <sz val="11"/>
      <name val="맑은 고딕"/>
    </font>
    <font>
      <color rgb="FF64748B"/>
      <sz val="10"/>
      <name val="맑은 고딕"/>
    </font>
    <font>
      <b/>
      <color rgb="FFFFFFFF"/>
      <sz val="10"/>
      <name val="맑은 고딕"/>
    </font>
    <font>
      <b/>
      <color rgb="FF0F172A"/>
      <sz val="10"/>
      <name val="맑은 고딕"/>
    </font>
    <font>
      <color rgb="FF64748B"/>
      <sz val="9"/>
      <name val="맑은 고딕"/>
    </font>
    <font>
      <color rgb="FF1E293B"/>
      <sz val="9.5"/>
      <name val="맑은 고딕"/>
    </font>
    <font>
      <color rgb="FF64748B"/>
      <sz val="8.5"/>
      <name val="맑은 고딕"/>
    </font>
    <font>
      <b/>
      <color rgb="FF1E293B"/>
      <sz val="9"/>
      <name val="맑은 고딕"/>
    </font>
    <font>
      <b/>
      <color rgb="FF0F766E"/>
      <sz val="9"/>
      <name val="맑은 고딕"/>
    </font>
    <font>
      <b/>
      <color rgb="FF64748B"/>
      <sz val="9"/>
      <name val="맑은 고딕"/>
    </font>
    <font>
      <b/>
      <color rgb="FF7C3AED"/>
      <sz val="9"/>
      <name val="맑은 고딕"/>
    </font>
    <font>
      <color rgb="FFB91C1C"/>
      <sz val="9"/>
      <name val="맑은 고딕"/>
    </font>
    <font>
      <b/>
      <color rgb="FFB45309"/>
      <sz val="9"/>
      <name val="맑은 고딕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B91C1C"/>
      </patternFill>
    </fill>
    <fill>
      <patternFill patternType="solid">
        <fgColor rgb="FF047857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F59E0B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F766E"/>
      </top>
      <bottom style="thin">
        <color rgb="FFE2E8F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top" inden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indent="1"/>
    </xf>
    <xf numFmtId="0" fontId="5" fillId="6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indent="1"/>
    </xf>
    <xf numFmtId="0" fontId="5" fillId="3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left" vertical="top" indent="1"/>
    </xf>
    <xf numFmtId="0" fontId="5" fillId="7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left" vertical="top" indent="1"/>
    </xf>
    <xf numFmtId="0" fontId="10" fillId="8" borderId="1" xfId="0" applyFont="1" applyFill="1" applyBorder="1" applyAlignment="1">
      <alignment horizontal="left" vertical="top" indent="1"/>
    </xf>
    <xf numFmtId="0" fontId="5" fillId="8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1"/>
    </xf>
    <xf numFmtId="3" fontId="13" fillId="7" borderId="1" xfId="0" applyNumberFormat="1" applyFont="1" applyFill="1" applyBorder="1" applyAlignment="1">
      <alignment horizontal="center"/>
    </xf>
    <xf numFmtId="164" fontId="14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indent="1"/>
    </xf>
    <xf numFmtId="3" fontId="15" fillId="6" borderId="1" xfId="0" applyNumberFormat="1" applyFont="1" applyFill="1" applyBorder="1" applyAlignment="1">
      <alignment horizontal="center"/>
    </xf>
    <xf numFmtId="164" fontId="16" fillId="6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left" indent="1"/>
    </xf>
    <xf numFmtId="3" fontId="17" fillId="8" borderId="1" xfId="0" applyNumberFormat="1" applyFont="1" applyFill="1" applyBorder="1" applyAlignment="1">
      <alignment horizontal="center"/>
    </xf>
    <xf numFmtId="164" fontId="18" fillId="8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left" indent="1"/>
    </xf>
    <xf numFmtId="3" fontId="20" fillId="3" borderId="1" xfId="0" applyNumberFormat="1" applyFont="1" applyFill="1" applyBorder="1" applyAlignment="1">
      <alignment horizontal="center"/>
    </xf>
    <xf numFmtId="164" fontId="21" fillId="3" borderId="1" xfId="0" applyNumberFormat="1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 vertical="center" wrapText="1"/>
    </xf>
    <xf numFmtId="0" fontId="23" fillId="0" borderId="1" xfId="0" applyFont="1" applyBorder="1"/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0" fontId="23" fillId="10" borderId="1" xfId="0" applyFont="1" applyFill="1" applyBorder="1"/>
    <xf numFmtId="3" fontId="5" fillId="10" borderId="1" xfId="0" applyNumberFormat="1" applyFont="1" applyFill="1" applyBorder="1" applyAlignment="1">
      <alignment horizontal="center"/>
    </xf>
    <xf numFmtId="3" fontId="5" fillId="10" borderId="1" xfId="0" applyNumberFormat="1" applyFont="1" applyFill="1" applyBorder="1"/>
    <xf numFmtId="164" fontId="4" fillId="10" borderId="1" xfId="0" applyNumberFormat="1" applyFont="1" applyFill="1" applyBorder="1"/>
    <xf numFmtId="164" fontId="5" fillId="10" borderId="1" xfId="0" applyNumberFormat="1" applyFont="1" applyFill="1" applyBorder="1"/>
    <xf numFmtId="0" fontId="3" fillId="11" borderId="0" xfId="0" applyFont="1" applyFill="1" applyAlignment="1">
      <alignment horizontal="left" vertical="center" indent="1"/>
    </xf>
    <xf numFmtId="0" fontId="22" fillId="1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5" fillId="0" borderId="1" xfId="0" applyFont="1" applyBorder="1"/>
    <xf numFmtId="164" fontId="10" fillId="0" borderId="1" xfId="0" applyNumberFormat="1" applyFont="1" applyBorder="1"/>
    <xf numFmtId="0" fontId="5" fillId="0" borderId="0" xfId="0" applyFont="1"/>
    <xf numFmtId="164" fontId="8" fillId="0" borderId="1" xfId="0" applyNumberFormat="1" applyFont="1" applyBorder="1"/>
    <xf numFmtId="0" fontId="24" fillId="10" borderId="1" xfId="0" applyFont="1" applyFill="1" applyBorder="1" applyAlignment="1">
      <alignment horizontal="center"/>
    </xf>
    <xf numFmtId="0" fontId="5" fillId="10" borderId="1" xfId="0" applyFont="1" applyFill="1" applyBorder="1"/>
    <xf numFmtId="164" fontId="10" fillId="10" borderId="1" xfId="0" applyNumberFormat="1" applyFont="1" applyFill="1" applyBorder="1"/>
    <xf numFmtId="164" fontId="8" fillId="10" borderId="1" xfId="0" applyNumberFormat="1" applyFont="1" applyFill="1" applyBorder="1"/>
    <xf numFmtId="0" fontId="25" fillId="6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/>
    </xf>
    <xf numFmtId="0" fontId="24" fillId="0" borderId="1" xfId="0" applyFont="1" applyBorder="1"/>
    <xf numFmtId="3" fontId="6" fillId="6" borderId="2" xfId="0" applyNumberFormat="1" applyFont="1" applyFill="1" applyBorder="1"/>
    <xf numFmtId="3" fontId="21" fillId="3" borderId="1" xfId="0" applyNumberFormat="1" applyFont="1" applyFill="1" applyBorder="1"/>
    <xf numFmtId="3" fontId="5" fillId="3" borderId="1" xfId="0" applyNumberFormat="1" applyFont="1" applyFill="1" applyBorder="1"/>
    <xf numFmtId="164" fontId="4" fillId="3" borderId="1" xfId="0" applyNumberFormat="1" applyFont="1" applyFill="1" applyBorder="1"/>
    <xf numFmtId="164" fontId="5" fillId="3" borderId="1" xfId="0" applyNumberFormat="1" applyFont="1" applyFill="1" applyBorder="1"/>
    <xf numFmtId="164" fontId="7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/>
    <xf numFmtId="0" fontId="5" fillId="10" borderId="1" xfId="0" applyFont="1" applyFill="1" applyBorder="1" applyAlignment="1">
      <alignment horizontal="center"/>
    </xf>
    <xf numFmtId="0" fontId="24" fillId="10" borderId="1" xfId="0" applyFont="1" applyFill="1" applyBorder="1"/>
    <xf numFmtId="0" fontId="4" fillId="7" borderId="3" xfId="0" applyFont="1" applyFill="1" applyBorder="1" applyAlignment="1">
      <alignment horizontal="right" indent="1"/>
    </xf>
    <xf numFmtId="3" fontId="4" fillId="7" borderId="3" xfId="0" applyNumberFormat="1" applyFont="1" applyFill="1" applyBorder="1"/>
    <xf numFmtId="164" fontId="4" fillId="7" borderId="3" xfId="0" applyNumberFormat="1" applyFont="1" applyFill="1" applyBorder="1"/>
    <xf numFmtId="0" fontId="4" fillId="7" borderId="3" xfId="0" applyFont="1" applyFill="1" applyBorder="1" applyAlignment="1">
      <alignment horizontal="center"/>
    </xf>
    <xf numFmtId="0" fontId="4" fillId="7" borderId="3" xfId="0" applyFont="1" applyFill="1" applyBorder="1"/>
    <xf numFmtId="0" fontId="26" fillId="0" borderId="1" xfId="0" applyFont="1" applyBorder="1"/>
    <xf numFmtId="0" fontId="27" fillId="0" borderId="1" xfId="0" applyFont="1" applyBorder="1" applyAlignment="1">
      <alignment horizontal="center"/>
    </xf>
    <xf numFmtId="166" fontId="6" fillId="6" borderId="2" xfId="0" applyNumberFormat="1" applyFont="1" applyFill="1" applyBorder="1"/>
    <xf numFmtId="164" fontId="6" fillId="6" borderId="2" xfId="0" applyNumberFormat="1" applyFont="1" applyFill="1" applyBorder="1"/>
    <xf numFmtId="167" fontId="5" fillId="3" borderId="1" xfId="0" applyNumberFormat="1" applyFont="1" applyFill="1" applyBorder="1"/>
    <xf numFmtId="168" fontId="4" fillId="3" borderId="1" xfId="0" applyNumberFormat="1" applyFont="1" applyFill="1" applyBorder="1"/>
    <xf numFmtId="0" fontId="28" fillId="0" borderId="1" xfId="0" applyFont="1" applyBorder="1" applyAlignment="1">
      <alignment horizontal="center"/>
    </xf>
    <xf numFmtId="0" fontId="26" fillId="10" borderId="1" xfId="0" applyFont="1" applyFill="1" applyBorder="1"/>
    <xf numFmtId="0" fontId="27" fillId="10" borderId="1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169" fontId="6" fillId="6" borderId="2" xfId="0" applyNumberFormat="1" applyFont="1" applyFill="1" applyBorder="1"/>
    <xf numFmtId="167" fontId="4" fillId="3" borderId="1" xfId="0" applyNumberFormat="1" applyFont="1" applyFill="1" applyBorder="1"/>
    <xf numFmtId="0" fontId="31" fillId="0" borderId="1" xfId="0" applyFont="1" applyBorder="1"/>
    <xf numFmtId="0" fontId="31" fillId="10" borderId="1" xfId="0" applyFont="1" applyFill="1" applyBorder="1"/>
    <xf numFmtId="0" fontId="6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right" indent="1"/>
    </xf>
    <xf numFmtId="3" fontId="4" fillId="7" borderId="1" xfId="0" applyNumberFormat="1" applyFont="1" applyFill="1" applyBorder="1"/>
    <xf numFmtId="0" fontId="4" fillId="7" borderId="1" xfId="0" applyFont="1" applyFill="1" applyBorder="1"/>
    <xf numFmtId="0" fontId="24" fillId="7" borderId="1" xfId="0" applyFont="1" applyFill="1" applyBorder="1"/>
    <xf numFmtId="0" fontId="7" fillId="0" borderId="1" xfId="0" applyFont="1" applyBorder="1" applyAlignment="1">
      <alignment horizontal="right" indent="1"/>
    </xf>
    <xf numFmtId="170" fontId="5" fillId="3" borderId="1" xfId="0" applyNumberFormat="1" applyFont="1" applyFill="1" applyBorder="1"/>
    <xf numFmtId="0" fontId="32" fillId="0" borderId="1" xfId="0" applyFont="1" applyBorder="1"/>
    <xf numFmtId="0" fontId="32" fillId="10" borderId="1" xfId="0" applyFont="1" applyFill="1" applyBorder="1"/>
  </cellXfs>
  <cellStyles count="1">
    <cellStyle name="Normal" xfId="0" builtinId="0"/>
  </cellStyles>
  <dxfs count="3">
    <dxf>
      <font>
        <b/>
        <color rgb="FFB91C1C"/>
      </font>
      <fill>
        <patternFill patternType="solid">
          <fgColor rgb="FFFEF2F2"/>
        </patternFill>
      </fill>
    </dxf>
    <dxf>
      <font>
        <b/>
        <color rgb="FFB45309"/>
      </font>
      <fill>
        <patternFill patternType="solid">
          <fgColor rgb="FFFFFBEB"/>
        </patternFill>
      </fill>
    </dxf>
    <dxf>
      <font>
        <b/>
        <color rgb="FF047857"/>
      </font>
      <fill>
        <patternFill patternType="solid">
          <f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 showGridLines="0"/>
  </sheetViews>
  <sheetFormatPr defaultRowHeight="19" outlineLevelRow="0" outlineLevelCol="0" x14ac:dyDescent="55" customHeight="1"/>
  <cols>
    <col min="1" max="1" width="4" customWidth="1"/>
    <col min="2" max="2" width="22" customWidth="1"/>
    <col min="3" max="3" width="96" customWidth="1"/>
    <col min="4" max="4" width="4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22" customHeight="1" spans="2:3" x14ac:dyDescent="0.25">
      <c r="B5" s="4" t="s">
        <v>3</v>
      </c>
      <c r="C5" s="5" t="s">
        <v>4</v>
      </c>
    </row>
    <row r="6" ht="22" customHeight="1" spans="2:3" x14ac:dyDescent="0.25">
      <c r="B6" s="4" t="s">
        <v>5</v>
      </c>
      <c r="C6" s="5" t="s">
        <v>6</v>
      </c>
    </row>
    <row r="7" ht="22" customHeight="1" spans="2:3" x14ac:dyDescent="0.25">
      <c r="B7" s="4" t="s">
        <v>7</v>
      </c>
      <c r="C7" s="5" t="s">
        <v>8</v>
      </c>
    </row>
    <row r="8" ht="22" customHeight="1" spans="2:3" x14ac:dyDescent="0.25">
      <c r="B8" s="4" t="s">
        <v>9</v>
      </c>
      <c r="C8" s="5" t="s">
        <v>10</v>
      </c>
    </row>
    <row r="9" ht="22" customHeight="1" spans="2:3" x14ac:dyDescent="0.25">
      <c r="B9" s="4" t="s">
        <v>11</v>
      </c>
      <c r="C9" s="5" t="s">
        <v>12</v>
      </c>
    </row>
    <row r="10" ht="22" customHeight="1" spans="2:3" x14ac:dyDescent="0.25">
      <c r="B10" s="4" t="s">
        <v>13</v>
      </c>
      <c r="C10" s="5" t="s">
        <v>14</v>
      </c>
    </row>
    <row r="11" ht="22" customHeight="1" spans="2:3" x14ac:dyDescent="0.25">
      <c r="B11" s="4" t="s">
        <v>15</v>
      </c>
      <c r="C11" s="5" t="s">
        <v>16</v>
      </c>
    </row>
    <row r="13" ht="24" customHeight="1" spans="1:4" x14ac:dyDescent="0.25">
      <c r="A13" s="3" t="s">
        <v>17</v>
      </c>
      <c r="B13" s="3"/>
      <c r="C13" s="3"/>
      <c r="D13" s="3"/>
    </row>
    <row r="14" ht="22" customHeight="1" spans="2:3" x14ac:dyDescent="0.25">
      <c r="B14" s="6" t="s">
        <v>18</v>
      </c>
      <c r="C14" s="7" t="s">
        <v>19</v>
      </c>
    </row>
    <row r="15" ht="22" customHeight="1" spans="2:3" x14ac:dyDescent="0.25">
      <c r="B15" s="8" t="s">
        <v>20</v>
      </c>
      <c r="C15" s="9" t="s">
        <v>21</v>
      </c>
    </row>
    <row r="16" ht="22" customHeight="1" spans="2:3" x14ac:dyDescent="0.25">
      <c r="B16" s="10" t="s">
        <v>22</v>
      </c>
      <c r="C16" s="11" t="s">
        <v>23</v>
      </c>
    </row>
    <row r="17" ht="22" customHeight="1" spans="2:3" x14ac:dyDescent="0.25">
      <c r="B17" s="12" t="s">
        <v>24</v>
      </c>
      <c r="C17" s="7" t="s">
        <v>25</v>
      </c>
    </row>
    <row r="18" ht="22" customHeight="1" spans="2:3" x14ac:dyDescent="0.25">
      <c r="B18" s="13" t="s">
        <v>26</v>
      </c>
      <c r="C18" s="14" t="s">
        <v>27</v>
      </c>
    </row>
    <row r="20" ht="24" customHeight="1" spans="1:4" x14ac:dyDescent="0.25">
      <c r="A20" s="3" t="s">
        <v>28</v>
      </c>
      <c r="B20" s="3"/>
      <c r="C20" s="3"/>
      <c r="D20" s="3"/>
    </row>
    <row r="21" ht="22" customHeight="1" spans="2:3" x14ac:dyDescent="0.25">
      <c r="B21" s="4" t="s">
        <v>29</v>
      </c>
      <c r="C21" s="5" t="s">
        <v>30</v>
      </c>
    </row>
    <row r="22" ht="22" customHeight="1" spans="2:3" x14ac:dyDescent="0.25">
      <c r="B22" s="4" t="s">
        <v>31</v>
      </c>
      <c r="C22" s="5" t="s">
        <v>32</v>
      </c>
    </row>
    <row r="23" ht="22" customHeight="1" spans="2:3" x14ac:dyDescent="0.25">
      <c r="B23" s="4" t="s">
        <v>33</v>
      </c>
      <c r="C23" s="5" t="s">
        <v>34</v>
      </c>
    </row>
    <row r="24" ht="22" customHeight="1" spans="2:3" x14ac:dyDescent="0.25">
      <c r="B24" s="4" t="s">
        <v>35</v>
      </c>
      <c r="C24" s="5" t="s">
        <v>36</v>
      </c>
    </row>
    <row r="25" ht="22" customHeight="1" spans="2:3" x14ac:dyDescent="0.25">
      <c r="B25" s="4" t="s">
        <v>37</v>
      </c>
      <c r="C25" s="5" t="s">
        <v>38</v>
      </c>
    </row>
    <row r="26" ht="22" customHeight="1" spans="2:3" x14ac:dyDescent="0.25">
      <c r="B26" s="4" t="s">
        <v>39</v>
      </c>
      <c r="C26" s="5" t="s">
        <v>40</v>
      </c>
    </row>
    <row r="27" ht="22" customHeight="1" spans="2:3" x14ac:dyDescent="0.25">
      <c r="B27" s="4" t="s">
        <v>41</v>
      </c>
      <c r="C27" s="5" t="s">
        <v>42</v>
      </c>
    </row>
    <row r="28" ht="34" customHeight="1" spans="2:3" x14ac:dyDescent="0.25">
      <c r="B28" s="12" t="s">
        <v>43</v>
      </c>
      <c r="C28" s="7" t="s">
        <v>44</v>
      </c>
    </row>
    <row r="30" ht="24" customHeight="1" spans="1:4" x14ac:dyDescent="0.25">
      <c r="A30" s="3" t="s">
        <v>45</v>
      </c>
      <c r="B30" s="3"/>
      <c r="C30" s="3"/>
      <c r="D30" s="3"/>
    </row>
    <row r="31" ht="46" customHeight="1" spans="2:3" x14ac:dyDescent="0.25">
      <c r="B31" s="12" t="s">
        <v>46</v>
      </c>
      <c r="C31" s="7" t="s">
        <v>47</v>
      </c>
    </row>
    <row r="32" ht="34" customHeight="1" spans="2:3" x14ac:dyDescent="0.25">
      <c r="B32" s="4" t="s">
        <v>48</v>
      </c>
      <c r="C32" s="5" t="s">
        <v>49</v>
      </c>
    </row>
    <row r="33" ht="34" customHeight="1" spans="2:3" x14ac:dyDescent="0.25">
      <c r="B33" s="4" t="s">
        <v>50</v>
      </c>
      <c r="C33" s="5" t="s">
        <v>51</v>
      </c>
    </row>
    <row r="34" ht="34" customHeight="1" spans="2:3" x14ac:dyDescent="0.25">
      <c r="B34" s="4" t="s">
        <v>52</v>
      </c>
      <c r="C34" s="5" t="s">
        <v>53</v>
      </c>
    </row>
    <row r="36" ht="24" customHeight="1" spans="1:4" x14ac:dyDescent="0.25">
      <c r="A36" s="3" t="s">
        <v>54</v>
      </c>
      <c r="B36" s="3"/>
      <c r="C36" s="3"/>
      <c r="D36" s="3"/>
    </row>
    <row r="37" ht="46" customHeight="1" spans="2:3" x14ac:dyDescent="0.25">
      <c r="B37" s="4" t="s">
        <v>55</v>
      </c>
      <c r="C37" s="5" t="s">
        <v>56</v>
      </c>
    </row>
  </sheetData>
  <mergeCells count="7">
    <mergeCell ref="A1:D1"/>
    <mergeCell ref="A2:D2"/>
    <mergeCell ref="A4:D4"/>
    <mergeCell ref="A13:D13"/>
    <mergeCell ref="A20:D20"/>
    <mergeCell ref="A30:D30"/>
    <mergeCell ref="A36:D36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workbookViewId="0" showGridLines="0"/>
  </sheetViews>
  <sheetFormatPr defaultRowHeight="19" outlineLevelRow="0" outlineLevelCol="0" x14ac:dyDescent="55" customHeight="1"/>
  <cols>
    <col min="1" max="1" width="4" customWidth="1"/>
    <col min="2" max="2" width="20" customWidth="1"/>
    <col min="3" max="3" width="10" customWidth="1"/>
    <col min="4" max="5" width="14" customWidth="1"/>
    <col min="6" max="6" width="11" customWidth="1"/>
    <col min="7" max="7" width="14" customWidth="1"/>
    <col min="8" max="8" width="11" customWidth="1"/>
    <col min="9" max="9" width="14" customWidth="1"/>
    <col min="10" max="10" width="11" customWidth="1"/>
    <col min="11" max="11" width="4" customWidth="1"/>
  </cols>
  <sheetData>
    <row r="1" ht="34" customHeight="1" spans="1:11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2:11" x14ac:dyDescent="0.25">
      <c r="B4" s="15" t="s">
        <v>58</v>
      </c>
      <c r="C4" s="15"/>
      <c r="D4" s="15" t="s">
        <v>59</v>
      </c>
      <c r="E4" s="15"/>
      <c r="F4" s="15" t="s">
        <v>60</v>
      </c>
      <c r="G4" s="15"/>
      <c r="H4" s="15" t="s">
        <v>61</v>
      </c>
      <c r="I4" s="15"/>
      <c r="J4" s="15" t="s">
        <v>62</v>
      </c>
      <c r="K4" s="15"/>
    </row>
    <row r="5" ht="38" customHeight="1" spans="2:11" x14ac:dyDescent="0.25">
      <c r="B5" s="16">
        <f>COUNTA('④ 메뉴 원가표'!$C$6:$C$92)</f>
      </c>
      <c r="C5" s="16"/>
      <c r="D5" s="17">
        <f>IF('④ 메뉴 원가표'!$E$93&gt;0,'④ 메뉴 원가표'!$F$93/'④ 메뉴 원가표'!$E$93,0)</f>
      </c>
      <c r="E5" s="17"/>
      <c r="F5" s="17">
        <f>IF('④ 메뉴 원가표'!$E$93&gt;0,'④ 메뉴 원가표'!$I$93/'④ 메뉴 원가표'!$E$93,0)</f>
      </c>
      <c r="G5" s="17"/>
      <c r="H5" s="17">
        <f>IF('④ 메뉴 원가표'!$E$93&gt;0,('④ 메뉴 원가표'!$E$93-'④ 메뉴 원가표'!$I$93)/'④ 메뉴 원가표'!$E$93,0)</f>
      </c>
      <c r="I5" s="17"/>
      <c r="J5" s="17">
        <f>'③ 고정비 설정'!$C$28</f>
      </c>
      <c r="K5" s="17"/>
    </row>
    <row r="7" ht="24" customHeight="1" spans="1:11" x14ac:dyDescent="0.25">
      <c r="A7" s="3" t="s">
        <v>63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2:5" x14ac:dyDescent="0.25">
      <c r="B8" s="18" t="s">
        <v>22</v>
      </c>
      <c r="C8" s="18"/>
      <c r="D8" s="19">
        <f>COUNTIF('④ 메뉴 원가표'!$M$6:$M$92,"*양호*")</f>
      </c>
      <c r="E8" s="20">
        <f>IF(COUNTA('④ 메뉴 원가표'!$C$6:$C$92)&gt;0,D8/COUNTA('④ 메뉴 원가표'!$C$6:$C$92),0)</f>
      </c>
    </row>
    <row r="9" spans="2:5" x14ac:dyDescent="0.25">
      <c r="B9" s="21" t="s">
        <v>24</v>
      </c>
      <c r="C9" s="21"/>
      <c r="D9" s="22">
        <f>COUNTIF('④ 메뉴 원가표'!$M$6:$M$92,"*주의*")</f>
      </c>
      <c r="E9" s="23">
        <f>IF(COUNTA('④ 메뉴 원가표'!$C$6:$C$92)&gt;0,D9/COUNTA('④ 메뉴 원가표'!$C$6:$C$92),0)</f>
      </c>
    </row>
    <row r="10" spans="2:5" x14ac:dyDescent="0.25">
      <c r="B10" s="24" t="s">
        <v>26</v>
      </c>
      <c r="C10" s="24"/>
      <c r="D10" s="25">
        <f>COUNTIF('④ 메뉴 원가표'!$M$6:$M$92,"*과다*")</f>
      </c>
      <c r="E10" s="26">
        <f>IF(COUNTA('④ 메뉴 원가표'!$C$6:$C$92)&gt;0,D10/COUNTA('④ 메뉴 원가표'!$C$6:$C$92),0)</f>
      </c>
    </row>
    <row r="11" spans="2:5" x14ac:dyDescent="0.25">
      <c r="B11" s="27" t="s">
        <v>64</v>
      </c>
      <c r="C11" s="27"/>
      <c r="D11" s="28">
        <f>COUNTIF('④ 메뉴 원가표'!$M$6:$M$92,"*판매가*")</f>
      </c>
      <c r="E11" s="29">
        <f>IF(COUNTA('④ 메뉴 원가표'!$C$6:$C$92)&gt;0,D11/COUNTA('④ 메뉴 원가표'!$C$6:$C$92),0)</f>
      </c>
    </row>
    <row r="13" ht="24" customHeight="1" spans="1:11" x14ac:dyDescent="0.25">
      <c r="A13" s="3" t="s">
        <v>65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6" customHeight="1" spans="1:11" x14ac:dyDescent="0.25">
      <c r="A14" s="30" t="s">
        <v>66</v>
      </c>
      <c r="B14" s="30" t="s">
        <v>67</v>
      </c>
      <c r="C14" s="30" t="s">
        <v>68</v>
      </c>
      <c r="D14" s="30" t="s">
        <v>69</v>
      </c>
      <c r="E14" s="30" t="s">
        <v>37</v>
      </c>
      <c r="F14" s="30" t="s">
        <v>70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66</v>
      </c>
    </row>
    <row r="15" spans="2:10" x14ac:dyDescent="0.25">
      <c r="B15" s="31" t="s">
        <v>75</v>
      </c>
      <c r="C15" s="32">
        <f>COUNTIF('④ 메뉴 원가표'!$B$6:$B$92,"🍗 치킨 커리")</f>
      </c>
      <c r="D15" s="33">
        <f>SUMIF('④ 메뉴 원가표'!$B$6:$B$92,"🍗 치킨 커리",'④ 메뉴 원가표'!$D$6:$D$92)</f>
      </c>
      <c r="E15" s="33">
        <f>SUMIF('④ 메뉴 원가표'!$B$6:$B$92,"🍗 치킨 커리",'④ 메뉴 원가표'!$E$6:$E$92)</f>
      </c>
      <c r="F15" s="33">
        <f>SUMIF('④ 메뉴 원가표'!$B$6:$B$92,"🍗 치킨 커리",'④ 메뉴 원가표'!$F$6:$F$92)</f>
      </c>
      <c r="G15" s="34">
        <f>IF(E15&gt;0,F15/E15,"")</f>
      </c>
      <c r="H15" s="33">
        <f>SUMIF('④ 메뉴 원가표'!$B$6:$B$92,"🍗 치킨 커리",'④ 메뉴 원가표'!$H$6:$H$92)</f>
      </c>
      <c r="I15" s="33">
        <f>SUMIF('④ 메뉴 원가표'!$B$6:$B$92,"🍗 치킨 커리",'④ 메뉴 원가표'!$I$6:$I$92)</f>
      </c>
      <c r="J15" s="35">
        <f>IF(E15&gt;0,(E15-I15)/E15,"")</f>
      </c>
    </row>
    <row r="16" spans="2:10" x14ac:dyDescent="0.25">
      <c r="B16" s="36" t="s">
        <v>76</v>
      </c>
      <c r="C16" s="37">
        <f>COUNTIF('④ 메뉴 원가표'!$B$6:$B$92,"🐑 머턴 커리")</f>
      </c>
      <c r="D16" s="38">
        <f>SUMIF('④ 메뉴 원가표'!$B$6:$B$92,"🐑 머턴 커리",'④ 메뉴 원가표'!$D$6:$D$92)</f>
      </c>
      <c r="E16" s="38">
        <f>SUMIF('④ 메뉴 원가표'!$B$6:$B$92,"🐑 머턴 커리",'④ 메뉴 원가표'!$E$6:$E$92)</f>
      </c>
      <c r="F16" s="38">
        <f>SUMIF('④ 메뉴 원가표'!$B$6:$B$92,"🐑 머턴 커리",'④ 메뉴 원가표'!$F$6:$F$92)</f>
      </c>
      <c r="G16" s="39">
        <f>IF(E16&gt;0,F16/E16,"")</f>
      </c>
      <c r="H16" s="38">
        <f>SUMIF('④ 메뉴 원가표'!$B$6:$B$92,"🐑 머턴 커리",'④ 메뉴 원가표'!$H$6:$H$92)</f>
      </c>
      <c r="I16" s="38">
        <f>SUMIF('④ 메뉴 원가표'!$B$6:$B$92,"🐑 머턴 커리",'④ 메뉴 원가표'!$I$6:$I$92)</f>
      </c>
      <c r="J16" s="40">
        <f>IF(E16&gt;0,(E16-I16)/E16,"")</f>
      </c>
    </row>
    <row r="17" spans="2:10" x14ac:dyDescent="0.25">
      <c r="B17" s="31" t="s">
        <v>77</v>
      </c>
      <c r="C17" s="32">
        <f>COUNTIF('④ 메뉴 원가표'!$B$6:$B$92,"🦐 에그·해산물")</f>
      </c>
      <c r="D17" s="33">
        <f>SUMIF('④ 메뉴 원가표'!$B$6:$B$92,"🦐 에그·해산물",'④ 메뉴 원가표'!$D$6:$D$92)</f>
      </c>
      <c r="E17" s="33">
        <f>SUMIF('④ 메뉴 원가표'!$B$6:$B$92,"🦐 에그·해산물",'④ 메뉴 원가표'!$E$6:$E$92)</f>
      </c>
      <c r="F17" s="33">
        <f>SUMIF('④ 메뉴 원가표'!$B$6:$B$92,"🦐 에그·해산물",'④ 메뉴 원가표'!$F$6:$F$92)</f>
      </c>
      <c r="G17" s="34">
        <f>IF(E17&gt;0,F17/E17,"")</f>
      </c>
      <c r="H17" s="33">
        <f>SUMIF('④ 메뉴 원가표'!$B$6:$B$92,"🦐 에그·해산물",'④ 메뉴 원가표'!$H$6:$H$92)</f>
      </c>
      <c r="I17" s="33">
        <f>SUMIF('④ 메뉴 원가표'!$B$6:$B$92,"🦐 에그·해산물",'④ 메뉴 원가표'!$I$6:$I$92)</f>
      </c>
      <c r="J17" s="35">
        <f>IF(E17&gt;0,(E17-I17)/E17,"")</f>
      </c>
    </row>
    <row r="18" spans="2:10" x14ac:dyDescent="0.25">
      <c r="B18" s="36" t="s">
        <v>78</v>
      </c>
      <c r="C18" s="37">
        <f>COUNTIF('④ 메뉴 원가표'!$B$6:$B$92,"🥦 채식·달 커리")</f>
      </c>
      <c r="D18" s="38">
        <f>SUMIF('④ 메뉴 원가표'!$B$6:$B$92,"🥦 채식·달 커리",'④ 메뉴 원가표'!$D$6:$D$92)</f>
      </c>
      <c r="E18" s="38">
        <f>SUMIF('④ 메뉴 원가표'!$B$6:$B$92,"🥦 채식·달 커리",'④ 메뉴 원가표'!$E$6:$E$92)</f>
      </c>
      <c r="F18" s="38">
        <f>SUMIF('④ 메뉴 원가표'!$B$6:$B$92,"🥦 채식·달 커리",'④ 메뉴 원가표'!$F$6:$F$92)</f>
      </c>
      <c r="G18" s="39">
        <f>IF(E18&gt;0,F18/E18,"")</f>
      </c>
      <c r="H18" s="38">
        <f>SUMIF('④ 메뉴 원가표'!$B$6:$B$92,"🥦 채식·달 커리",'④ 메뉴 원가표'!$H$6:$H$92)</f>
      </c>
      <c r="I18" s="38">
        <f>SUMIF('④ 메뉴 원가표'!$B$6:$B$92,"🥦 채식·달 커리",'④ 메뉴 원가표'!$I$6:$I$92)</f>
      </c>
      <c r="J18" s="40">
        <f>IF(E18&gt;0,(E18-I18)/E18,"")</f>
      </c>
    </row>
    <row r="19" spans="2:10" x14ac:dyDescent="0.25">
      <c r="B19" s="31" t="s">
        <v>79</v>
      </c>
      <c r="C19" s="32">
        <f>COUNTIF('④ 메뉴 원가표'!$B$6:$B$92,"🔥 탄두리·케밥")</f>
      </c>
      <c r="D19" s="33">
        <f>SUMIF('④ 메뉴 원가표'!$B$6:$B$92,"🔥 탄두리·케밥",'④ 메뉴 원가표'!$D$6:$D$92)</f>
      </c>
      <c r="E19" s="33">
        <f>SUMIF('④ 메뉴 원가표'!$B$6:$B$92,"🔥 탄두리·케밥",'④ 메뉴 원가표'!$E$6:$E$92)</f>
      </c>
      <c r="F19" s="33">
        <f>SUMIF('④ 메뉴 원가표'!$B$6:$B$92,"🔥 탄두리·케밥",'④ 메뉴 원가표'!$F$6:$F$92)</f>
      </c>
      <c r="G19" s="34">
        <f>IF(E19&gt;0,F19/E19,"")</f>
      </c>
      <c r="H19" s="33">
        <f>SUMIF('④ 메뉴 원가표'!$B$6:$B$92,"🔥 탄두리·케밥",'④ 메뉴 원가표'!$H$6:$H$92)</f>
      </c>
      <c r="I19" s="33">
        <f>SUMIF('④ 메뉴 원가표'!$B$6:$B$92,"🔥 탄두리·케밥",'④ 메뉴 원가표'!$I$6:$I$92)</f>
      </c>
      <c r="J19" s="35">
        <f>IF(E19&gt;0,(E19-I19)/E19,"")</f>
      </c>
    </row>
    <row r="20" spans="2:10" x14ac:dyDescent="0.25">
      <c r="B20" s="36" t="s">
        <v>80</v>
      </c>
      <c r="C20" s="37">
        <f>COUNTIF('④ 메뉴 원가표'!$B$6:$B$92,"🥟 스낵·사이드")</f>
      </c>
      <c r="D20" s="38">
        <f>SUMIF('④ 메뉴 원가표'!$B$6:$B$92,"🥟 스낵·사이드",'④ 메뉴 원가표'!$D$6:$D$92)</f>
      </c>
      <c r="E20" s="38">
        <f>SUMIF('④ 메뉴 원가표'!$B$6:$B$92,"🥟 스낵·사이드",'④ 메뉴 원가표'!$E$6:$E$92)</f>
      </c>
      <c r="F20" s="38">
        <f>SUMIF('④ 메뉴 원가표'!$B$6:$B$92,"🥟 스낵·사이드",'④ 메뉴 원가표'!$F$6:$F$92)</f>
      </c>
      <c r="G20" s="39">
        <f>IF(E20&gt;0,F20/E20,"")</f>
      </c>
      <c r="H20" s="38">
        <f>SUMIF('④ 메뉴 원가표'!$B$6:$B$92,"🥟 스낵·사이드",'④ 메뉴 원가표'!$H$6:$H$92)</f>
      </c>
      <c r="I20" s="38">
        <f>SUMIF('④ 메뉴 원가표'!$B$6:$B$92,"🥟 스낵·사이드",'④ 메뉴 원가표'!$I$6:$I$92)</f>
      </c>
      <c r="J20" s="40">
        <f>IF(E20&gt;0,(E20-I20)/E20,"")</f>
      </c>
    </row>
    <row r="21" spans="2:10" x14ac:dyDescent="0.25">
      <c r="B21" s="31" t="s">
        <v>81</v>
      </c>
      <c r="C21" s="32">
        <f>COUNTIF('④ 메뉴 원가표'!$B$6:$B$92,"🍜 면류")</f>
      </c>
      <c r="D21" s="33">
        <f>SUMIF('④ 메뉴 원가표'!$B$6:$B$92,"🍜 면류",'④ 메뉴 원가표'!$D$6:$D$92)</f>
      </c>
      <c r="E21" s="33">
        <f>SUMIF('④ 메뉴 원가표'!$B$6:$B$92,"🍜 면류",'④ 메뉴 원가표'!$E$6:$E$92)</f>
      </c>
      <c r="F21" s="33">
        <f>SUMIF('④ 메뉴 원가표'!$B$6:$B$92,"🍜 면류",'④ 메뉴 원가표'!$F$6:$F$92)</f>
      </c>
      <c r="G21" s="34">
        <f>IF(E21&gt;0,F21/E21,"")</f>
      </c>
      <c r="H21" s="33">
        <f>SUMIF('④ 메뉴 원가표'!$B$6:$B$92,"🍜 면류",'④ 메뉴 원가표'!$H$6:$H$92)</f>
      </c>
      <c r="I21" s="33">
        <f>SUMIF('④ 메뉴 원가표'!$B$6:$B$92,"🍜 면류",'④ 메뉴 원가표'!$I$6:$I$92)</f>
      </c>
      <c r="J21" s="35">
        <f>IF(E21&gt;0,(E21-I21)/E21,"")</f>
      </c>
    </row>
    <row r="22" spans="2:10" x14ac:dyDescent="0.25">
      <c r="B22" s="36" t="s">
        <v>82</v>
      </c>
      <c r="C22" s="37">
        <f>COUNTIF('④ 메뉴 원가표'!$B$6:$B$92,"🍲 수프")</f>
      </c>
      <c r="D22" s="38">
        <f>SUMIF('④ 메뉴 원가표'!$B$6:$B$92,"🍲 수프",'④ 메뉴 원가표'!$D$6:$D$92)</f>
      </c>
      <c r="E22" s="38">
        <f>SUMIF('④ 메뉴 원가표'!$B$6:$B$92,"🍲 수프",'④ 메뉴 원가표'!$E$6:$E$92)</f>
      </c>
      <c r="F22" s="38">
        <f>SUMIF('④ 메뉴 원가표'!$B$6:$B$92,"🍲 수프",'④ 메뉴 원가표'!$F$6:$F$92)</f>
      </c>
      <c r="G22" s="39">
        <f>IF(E22&gt;0,F22/E22,"")</f>
      </c>
      <c r="H22" s="38">
        <f>SUMIF('④ 메뉴 원가표'!$B$6:$B$92,"🍲 수프",'④ 메뉴 원가표'!$H$6:$H$92)</f>
      </c>
      <c r="I22" s="38">
        <f>SUMIF('④ 메뉴 원가표'!$B$6:$B$92,"🍲 수프",'④ 메뉴 원가표'!$I$6:$I$92)</f>
      </c>
      <c r="J22" s="40">
        <f>IF(E22&gt;0,(E22-I22)/E22,"")</f>
      </c>
    </row>
    <row r="23" spans="2:10" x14ac:dyDescent="0.25">
      <c r="B23" s="31" t="s">
        <v>83</v>
      </c>
      <c r="C23" s="32">
        <f>COUNTIF('④ 메뉴 원가표'!$B$6:$B$92,"🫓 브레드")</f>
      </c>
      <c r="D23" s="33">
        <f>SUMIF('④ 메뉴 원가표'!$B$6:$B$92,"🫓 브레드",'④ 메뉴 원가표'!$D$6:$D$92)</f>
      </c>
      <c r="E23" s="33">
        <f>SUMIF('④ 메뉴 원가표'!$B$6:$B$92,"🫓 브레드",'④ 메뉴 원가표'!$E$6:$E$92)</f>
      </c>
      <c r="F23" s="33">
        <f>SUMIF('④ 메뉴 원가표'!$B$6:$B$92,"🫓 브레드",'④ 메뉴 원가표'!$F$6:$F$92)</f>
      </c>
      <c r="G23" s="34">
        <f>IF(E23&gt;0,F23/E23,"")</f>
      </c>
      <c r="H23" s="33">
        <f>SUMIF('④ 메뉴 원가표'!$B$6:$B$92,"🫓 브레드",'④ 메뉴 원가표'!$H$6:$H$92)</f>
      </c>
      <c r="I23" s="33">
        <f>SUMIF('④ 메뉴 원가표'!$B$6:$B$92,"🫓 브레드",'④ 메뉴 원가표'!$I$6:$I$92)</f>
      </c>
      <c r="J23" s="35">
        <f>IF(E23&gt;0,(E23-I23)/E23,"")</f>
      </c>
    </row>
    <row r="24" spans="2:10" x14ac:dyDescent="0.25">
      <c r="B24" s="36" t="s">
        <v>84</v>
      </c>
      <c r="C24" s="37">
        <f>COUNTIF('④ 메뉴 원가표'!$B$6:$B$92,"🍚 밥류")</f>
      </c>
      <c r="D24" s="38">
        <f>SUMIF('④ 메뉴 원가표'!$B$6:$B$92,"🍚 밥류",'④ 메뉴 원가표'!$D$6:$D$92)</f>
      </c>
      <c r="E24" s="38">
        <f>SUMIF('④ 메뉴 원가표'!$B$6:$B$92,"🍚 밥류",'④ 메뉴 원가표'!$E$6:$E$92)</f>
      </c>
      <c r="F24" s="38">
        <f>SUMIF('④ 메뉴 원가표'!$B$6:$B$92,"🍚 밥류",'④ 메뉴 원가표'!$F$6:$F$92)</f>
      </c>
      <c r="G24" s="39">
        <f>IF(E24&gt;0,F24/E24,"")</f>
      </c>
      <c r="H24" s="38">
        <f>SUMIF('④ 메뉴 원가표'!$B$6:$B$92,"🍚 밥류",'④ 메뉴 원가표'!$H$6:$H$92)</f>
      </c>
      <c r="I24" s="38">
        <f>SUMIF('④ 메뉴 원가표'!$B$6:$B$92,"🍚 밥류",'④ 메뉴 원가표'!$I$6:$I$92)</f>
      </c>
      <c r="J24" s="40">
        <f>IF(E24&gt;0,(E24-I24)/E24,"")</f>
      </c>
    </row>
    <row r="25" spans="2:10" x14ac:dyDescent="0.25">
      <c r="B25" s="31" t="s">
        <v>85</v>
      </c>
      <c r="C25" s="32">
        <f>COUNTIF('④ 메뉴 원가표'!$B$6:$B$92,"🥗 샐러드")</f>
      </c>
      <c r="D25" s="33">
        <f>SUMIF('④ 메뉴 원가표'!$B$6:$B$92,"🥗 샐러드",'④ 메뉴 원가표'!$D$6:$D$92)</f>
      </c>
      <c r="E25" s="33">
        <f>SUMIF('④ 메뉴 원가표'!$B$6:$B$92,"🥗 샐러드",'④ 메뉴 원가표'!$E$6:$E$92)</f>
      </c>
      <c r="F25" s="33">
        <f>SUMIF('④ 메뉴 원가표'!$B$6:$B$92,"🥗 샐러드",'④ 메뉴 원가표'!$F$6:$F$92)</f>
      </c>
      <c r="G25" s="34">
        <f>IF(E25&gt;0,F25/E25,"")</f>
      </c>
      <c r="H25" s="33">
        <f>SUMIF('④ 메뉴 원가표'!$B$6:$B$92,"🥗 샐러드",'④ 메뉴 원가표'!$H$6:$H$92)</f>
      </c>
      <c r="I25" s="33">
        <f>SUMIF('④ 메뉴 원가표'!$B$6:$B$92,"🥗 샐러드",'④ 메뉴 원가표'!$I$6:$I$92)</f>
      </c>
      <c r="J25" s="35">
        <f>IF(E25&gt;0,(E25-I25)/E25,"")</f>
      </c>
    </row>
    <row r="26" spans="2:10" x14ac:dyDescent="0.25">
      <c r="B26" s="36" t="s">
        <v>86</v>
      </c>
      <c r="C26" s="37">
        <f>COUNTIF('④ 메뉴 원가표'!$B$6:$B$92,"🍮 디저트")</f>
      </c>
      <c r="D26" s="38">
        <f>SUMIF('④ 메뉴 원가표'!$B$6:$B$92,"🍮 디저트",'④ 메뉴 원가표'!$D$6:$D$92)</f>
      </c>
      <c r="E26" s="38">
        <f>SUMIF('④ 메뉴 원가표'!$B$6:$B$92,"🍮 디저트",'④ 메뉴 원가표'!$E$6:$E$92)</f>
      </c>
      <c r="F26" s="38">
        <f>SUMIF('④ 메뉴 원가표'!$B$6:$B$92,"🍮 디저트",'④ 메뉴 원가표'!$F$6:$F$92)</f>
      </c>
      <c r="G26" s="39">
        <f>IF(E26&gt;0,F26/E26,"")</f>
      </c>
      <c r="H26" s="38">
        <f>SUMIF('④ 메뉴 원가표'!$B$6:$B$92,"🍮 디저트",'④ 메뉴 원가표'!$H$6:$H$92)</f>
      </c>
      <c r="I26" s="38">
        <f>SUMIF('④ 메뉴 원가표'!$B$6:$B$92,"🍮 디저트",'④ 메뉴 원가표'!$I$6:$I$92)</f>
      </c>
      <c r="J26" s="40">
        <f>IF(E26&gt;0,(E26-I26)/E26,"")</f>
      </c>
    </row>
    <row r="27" spans="2:10" x14ac:dyDescent="0.25">
      <c r="B27" s="31" t="s">
        <v>87</v>
      </c>
      <c r="C27" s="32">
        <f>COUNTIF('④ 메뉴 원가표'!$B$6:$B$92,"🥤 음료")</f>
      </c>
      <c r="D27" s="33">
        <f>SUMIF('④ 메뉴 원가표'!$B$6:$B$92,"🥤 음료",'④ 메뉴 원가표'!$D$6:$D$92)</f>
      </c>
      <c r="E27" s="33">
        <f>SUMIF('④ 메뉴 원가표'!$B$6:$B$92,"🥤 음료",'④ 메뉴 원가표'!$E$6:$E$92)</f>
      </c>
      <c r="F27" s="33">
        <f>SUMIF('④ 메뉴 원가표'!$B$6:$B$92,"🥤 음료",'④ 메뉴 원가표'!$F$6:$F$92)</f>
      </c>
      <c r="G27" s="34">
        <f>IF(E27&gt;0,F27/E27,"")</f>
      </c>
      <c r="H27" s="33">
        <f>SUMIF('④ 메뉴 원가표'!$B$6:$B$92,"🥤 음료",'④ 메뉴 원가표'!$H$6:$H$92)</f>
      </c>
      <c r="I27" s="33">
        <f>SUMIF('④ 메뉴 원가표'!$B$6:$B$92,"🥤 음료",'④ 메뉴 원가표'!$I$6:$I$92)</f>
      </c>
      <c r="J27" s="35">
        <f>IF(E27&gt;0,(E27-I27)/E27,"")</f>
      </c>
    </row>
    <row r="28" spans="2:10" x14ac:dyDescent="0.25">
      <c r="B28" s="36" t="s">
        <v>88</v>
      </c>
      <c r="C28" s="37">
        <f>COUNTIF('④ 메뉴 원가표'!$B$6:$B$92,"🍽 세트메뉴")</f>
      </c>
      <c r="D28" s="38">
        <f>SUMIF('④ 메뉴 원가표'!$B$6:$B$92,"🍽 세트메뉴",'④ 메뉴 원가표'!$D$6:$D$92)</f>
      </c>
      <c r="E28" s="38">
        <f>SUMIF('④ 메뉴 원가표'!$B$6:$B$92,"🍽 세트메뉴",'④ 메뉴 원가표'!$E$6:$E$92)</f>
      </c>
      <c r="F28" s="38">
        <f>SUMIF('④ 메뉴 원가표'!$B$6:$B$92,"🍽 세트메뉴",'④ 메뉴 원가표'!$F$6:$F$92)</f>
      </c>
      <c r="G28" s="39">
        <f>IF(E28&gt;0,F28/E28,"")</f>
      </c>
      <c r="H28" s="38">
        <f>SUMIF('④ 메뉴 원가표'!$B$6:$B$92,"🍽 세트메뉴",'④ 메뉴 원가표'!$H$6:$H$92)</f>
      </c>
      <c r="I28" s="38">
        <f>SUMIF('④ 메뉴 원가표'!$B$6:$B$92,"🍽 세트메뉴",'④ 메뉴 원가표'!$I$6:$I$92)</f>
      </c>
      <c r="J28" s="40">
        <f>IF(E28&gt;0,(E28-I28)/E28,"")</f>
      </c>
    </row>
    <row r="30" ht="24" customHeight="1" spans="1:11" x14ac:dyDescent="0.25">
      <c r="A30" s="41" t="s">
        <v>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ht="26" customHeight="1" spans="1:11" x14ac:dyDescent="0.25">
      <c r="A31" s="30" t="s">
        <v>66</v>
      </c>
      <c r="B31" s="30" t="s">
        <v>90</v>
      </c>
      <c r="C31" s="30" t="s">
        <v>91</v>
      </c>
      <c r="D31" s="30" t="s">
        <v>92</v>
      </c>
      <c r="E31" s="30" t="s">
        <v>70</v>
      </c>
      <c r="F31" s="30" t="s">
        <v>71</v>
      </c>
      <c r="G31" s="30" t="s">
        <v>66</v>
      </c>
      <c r="H31" s="42" t="s">
        <v>93</v>
      </c>
      <c r="I31" s="42"/>
      <c r="J31" s="42"/>
      <c r="K31" s="30" t="s">
        <v>66</v>
      </c>
    </row>
    <row r="32" spans="2:10" x14ac:dyDescent="0.25">
      <c r="B32" s="43">
        <v>1</v>
      </c>
      <c r="C32" s="44">
        <f>IFERROR(INDEX('④ 메뉴 원가표'!$C$6:$C$92,MATCH(LARGE('④ 메뉴 원가표'!$N$6:$N$92,1),'④ 메뉴 원가표'!$N$6:$N$92,0)),"")</f>
      </c>
      <c r="D32" s="33">
        <f>IFERROR(INDEX('④ 메뉴 원가표'!$D$6:$D$92,MATCH(LARGE('④ 메뉴 원가표'!$N$6:$N$92,1),'④ 메뉴 원가표'!$N$6:$N$92,0)),"")</f>
      </c>
      <c r="E32" s="33">
        <f>IFERROR(INDEX('④ 메뉴 원가표'!$F$6:$F$92,MATCH(LARGE('④ 메뉴 원가표'!$N$6:$N$92,1),'④ 메뉴 원가표'!$N$6:$N$92,0)),"")</f>
      </c>
      <c r="F32" s="45">
        <f>IFERROR(INDEX('④ 메뉴 원가표'!$G$6:$G$92,MATCH(LARGE('④ 메뉴 원가표'!$N$6:$N$92,1),'④ 메뉴 원가표'!$N$6:$N$92,0)),"")</f>
      </c>
      <c r="G32" s="46" t="s">
        <v>66</v>
      </c>
      <c r="H32" s="43">
        <v>1</v>
      </c>
      <c r="I32" s="44">
        <f>IFERROR(INDEX('④ 메뉴 원가표'!$C$6:$C$92,MATCH(SMALL('④ 메뉴 원가표'!$N$6:$N$92,1),'④ 메뉴 원가표'!$N$6:$N$92,0)),"")</f>
      </c>
      <c r="J32" s="47">
        <f>IFERROR(INDEX('④ 메뉴 원가표'!$G$6:$G$92,MATCH(SMALL('④ 메뉴 원가표'!$N$6:$N$92,1),'④ 메뉴 원가표'!$N$6:$N$92,0)),"")</f>
      </c>
    </row>
    <row r="33" spans="2:10" x14ac:dyDescent="0.25">
      <c r="B33" s="48">
        <v>2</v>
      </c>
      <c r="C33" s="49">
        <f>IFERROR(INDEX('④ 메뉴 원가표'!$C$6:$C$92,MATCH(LARGE('④ 메뉴 원가표'!$N$6:$N$92,2),'④ 메뉴 원가표'!$N$6:$N$92,0)),"")</f>
      </c>
      <c r="D33" s="38">
        <f>IFERROR(INDEX('④ 메뉴 원가표'!$D$6:$D$92,MATCH(LARGE('④ 메뉴 원가표'!$N$6:$N$92,2),'④ 메뉴 원가표'!$N$6:$N$92,0)),"")</f>
      </c>
      <c r="E33" s="38">
        <f>IFERROR(INDEX('④ 메뉴 원가표'!$F$6:$F$92,MATCH(LARGE('④ 메뉴 원가표'!$N$6:$N$92,2),'④ 메뉴 원가표'!$N$6:$N$92,0)),"")</f>
      </c>
      <c r="F33" s="50">
        <f>IFERROR(INDEX('④ 메뉴 원가표'!$G$6:$G$92,MATCH(LARGE('④ 메뉴 원가표'!$N$6:$N$92,2),'④ 메뉴 원가표'!$N$6:$N$92,0)),"")</f>
      </c>
      <c r="G33" s="46" t="s">
        <v>66</v>
      </c>
      <c r="H33" s="48">
        <v>2</v>
      </c>
      <c r="I33" s="49">
        <f>IFERROR(INDEX('④ 메뉴 원가표'!$C$6:$C$92,MATCH(SMALL('④ 메뉴 원가표'!$N$6:$N$92,2),'④ 메뉴 원가표'!$N$6:$N$92,0)),"")</f>
      </c>
      <c r="J33" s="51">
        <f>IFERROR(INDEX('④ 메뉴 원가표'!$G$6:$G$92,MATCH(SMALL('④ 메뉴 원가표'!$N$6:$N$92,2),'④ 메뉴 원가표'!$N$6:$N$92,0)),"")</f>
      </c>
    </row>
    <row r="34" spans="2:10" x14ac:dyDescent="0.25">
      <c r="B34" s="43">
        <v>3</v>
      </c>
      <c r="C34" s="44">
        <f>IFERROR(INDEX('④ 메뉴 원가표'!$C$6:$C$92,MATCH(LARGE('④ 메뉴 원가표'!$N$6:$N$92,3),'④ 메뉴 원가표'!$N$6:$N$92,0)),"")</f>
      </c>
      <c r="D34" s="33">
        <f>IFERROR(INDEX('④ 메뉴 원가표'!$D$6:$D$92,MATCH(LARGE('④ 메뉴 원가표'!$N$6:$N$92,3),'④ 메뉴 원가표'!$N$6:$N$92,0)),"")</f>
      </c>
      <c r="E34" s="33">
        <f>IFERROR(INDEX('④ 메뉴 원가표'!$F$6:$F$92,MATCH(LARGE('④ 메뉴 원가표'!$N$6:$N$92,3),'④ 메뉴 원가표'!$N$6:$N$92,0)),"")</f>
      </c>
      <c r="F34" s="45">
        <f>IFERROR(INDEX('④ 메뉴 원가표'!$G$6:$G$92,MATCH(LARGE('④ 메뉴 원가표'!$N$6:$N$92,3),'④ 메뉴 원가표'!$N$6:$N$92,0)),"")</f>
      </c>
      <c r="G34" s="46" t="s">
        <v>66</v>
      </c>
      <c r="H34" s="43">
        <v>3</v>
      </c>
      <c r="I34" s="44">
        <f>IFERROR(INDEX('④ 메뉴 원가표'!$C$6:$C$92,MATCH(SMALL('④ 메뉴 원가표'!$N$6:$N$92,3),'④ 메뉴 원가표'!$N$6:$N$92,0)),"")</f>
      </c>
      <c r="J34" s="47">
        <f>IFERROR(INDEX('④ 메뉴 원가표'!$G$6:$G$92,MATCH(SMALL('④ 메뉴 원가표'!$N$6:$N$92,3),'④ 메뉴 원가표'!$N$6:$N$92,0)),"")</f>
      </c>
    </row>
    <row r="35" spans="2:10" x14ac:dyDescent="0.25">
      <c r="B35" s="48">
        <v>4</v>
      </c>
      <c r="C35" s="49">
        <f>IFERROR(INDEX('④ 메뉴 원가표'!$C$6:$C$92,MATCH(LARGE('④ 메뉴 원가표'!$N$6:$N$92,4),'④ 메뉴 원가표'!$N$6:$N$92,0)),"")</f>
      </c>
      <c r="D35" s="38">
        <f>IFERROR(INDEX('④ 메뉴 원가표'!$D$6:$D$92,MATCH(LARGE('④ 메뉴 원가표'!$N$6:$N$92,4),'④ 메뉴 원가표'!$N$6:$N$92,0)),"")</f>
      </c>
      <c r="E35" s="38">
        <f>IFERROR(INDEX('④ 메뉴 원가표'!$F$6:$F$92,MATCH(LARGE('④ 메뉴 원가표'!$N$6:$N$92,4),'④ 메뉴 원가표'!$N$6:$N$92,0)),"")</f>
      </c>
      <c r="F35" s="50">
        <f>IFERROR(INDEX('④ 메뉴 원가표'!$G$6:$G$92,MATCH(LARGE('④ 메뉴 원가표'!$N$6:$N$92,4),'④ 메뉴 원가표'!$N$6:$N$92,0)),"")</f>
      </c>
      <c r="G35" s="46" t="s">
        <v>66</v>
      </c>
      <c r="H35" s="48">
        <v>4</v>
      </c>
      <c r="I35" s="49">
        <f>IFERROR(INDEX('④ 메뉴 원가표'!$C$6:$C$92,MATCH(SMALL('④ 메뉴 원가표'!$N$6:$N$92,4),'④ 메뉴 원가표'!$N$6:$N$92,0)),"")</f>
      </c>
      <c r="J35" s="51">
        <f>IFERROR(INDEX('④ 메뉴 원가표'!$G$6:$G$92,MATCH(SMALL('④ 메뉴 원가표'!$N$6:$N$92,4),'④ 메뉴 원가표'!$N$6:$N$92,0)),"")</f>
      </c>
    </row>
    <row r="36" spans="2:10" x14ac:dyDescent="0.25">
      <c r="B36" s="43">
        <v>5</v>
      </c>
      <c r="C36" s="44">
        <f>IFERROR(INDEX('④ 메뉴 원가표'!$C$6:$C$92,MATCH(LARGE('④ 메뉴 원가표'!$N$6:$N$92,5),'④ 메뉴 원가표'!$N$6:$N$92,0)),"")</f>
      </c>
      <c r="D36" s="33">
        <f>IFERROR(INDEX('④ 메뉴 원가표'!$D$6:$D$92,MATCH(LARGE('④ 메뉴 원가표'!$N$6:$N$92,5),'④ 메뉴 원가표'!$N$6:$N$92,0)),"")</f>
      </c>
      <c r="E36" s="33">
        <f>IFERROR(INDEX('④ 메뉴 원가표'!$F$6:$F$92,MATCH(LARGE('④ 메뉴 원가표'!$N$6:$N$92,5),'④ 메뉴 원가표'!$N$6:$N$92,0)),"")</f>
      </c>
      <c r="F36" s="45">
        <f>IFERROR(INDEX('④ 메뉴 원가표'!$G$6:$G$92,MATCH(LARGE('④ 메뉴 원가표'!$N$6:$N$92,5),'④ 메뉴 원가표'!$N$6:$N$92,0)),"")</f>
      </c>
      <c r="G36" s="46" t="s">
        <v>66</v>
      </c>
      <c r="H36" s="43">
        <v>5</v>
      </c>
      <c r="I36" s="44">
        <f>IFERROR(INDEX('④ 메뉴 원가표'!$C$6:$C$92,MATCH(SMALL('④ 메뉴 원가표'!$N$6:$N$92,5),'④ 메뉴 원가표'!$N$6:$N$92,0)),"")</f>
      </c>
      <c r="J36" s="47">
        <f>IFERROR(INDEX('④ 메뉴 원가표'!$G$6:$G$92,MATCH(SMALL('④ 메뉴 원가표'!$N$6:$N$92,5),'④ 메뉴 원가표'!$N$6:$N$92,0)),"")</f>
      </c>
    </row>
    <row r="37" spans="2:10" x14ac:dyDescent="0.25">
      <c r="B37" s="48">
        <v>6</v>
      </c>
      <c r="C37" s="49">
        <f>IFERROR(INDEX('④ 메뉴 원가표'!$C$6:$C$92,MATCH(LARGE('④ 메뉴 원가표'!$N$6:$N$92,6),'④ 메뉴 원가표'!$N$6:$N$92,0)),"")</f>
      </c>
      <c r="D37" s="38">
        <f>IFERROR(INDEX('④ 메뉴 원가표'!$D$6:$D$92,MATCH(LARGE('④ 메뉴 원가표'!$N$6:$N$92,6),'④ 메뉴 원가표'!$N$6:$N$92,0)),"")</f>
      </c>
      <c r="E37" s="38">
        <f>IFERROR(INDEX('④ 메뉴 원가표'!$F$6:$F$92,MATCH(LARGE('④ 메뉴 원가표'!$N$6:$N$92,6),'④ 메뉴 원가표'!$N$6:$N$92,0)),"")</f>
      </c>
      <c r="F37" s="50">
        <f>IFERROR(INDEX('④ 메뉴 원가표'!$G$6:$G$92,MATCH(LARGE('④ 메뉴 원가표'!$N$6:$N$92,6),'④ 메뉴 원가표'!$N$6:$N$92,0)),"")</f>
      </c>
      <c r="G37" s="46" t="s">
        <v>66</v>
      </c>
      <c r="H37" s="48">
        <v>6</v>
      </c>
      <c r="I37" s="49">
        <f>IFERROR(INDEX('④ 메뉴 원가표'!$C$6:$C$92,MATCH(SMALL('④ 메뉴 원가표'!$N$6:$N$92,6),'④ 메뉴 원가표'!$N$6:$N$92,0)),"")</f>
      </c>
      <c r="J37" s="51">
        <f>IFERROR(INDEX('④ 메뉴 원가표'!$G$6:$G$92,MATCH(SMALL('④ 메뉴 원가표'!$N$6:$N$92,6),'④ 메뉴 원가표'!$N$6:$N$92,0)),"")</f>
      </c>
    </row>
    <row r="38" spans="2:10" x14ac:dyDescent="0.25">
      <c r="B38" s="43">
        <v>7</v>
      </c>
      <c r="C38" s="44">
        <f>IFERROR(INDEX('④ 메뉴 원가표'!$C$6:$C$92,MATCH(LARGE('④ 메뉴 원가표'!$N$6:$N$92,7),'④ 메뉴 원가표'!$N$6:$N$92,0)),"")</f>
      </c>
      <c r="D38" s="33">
        <f>IFERROR(INDEX('④ 메뉴 원가표'!$D$6:$D$92,MATCH(LARGE('④ 메뉴 원가표'!$N$6:$N$92,7),'④ 메뉴 원가표'!$N$6:$N$92,0)),"")</f>
      </c>
      <c r="E38" s="33">
        <f>IFERROR(INDEX('④ 메뉴 원가표'!$F$6:$F$92,MATCH(LARGE('④ 메뉴 원가표'!$N$6:$N$92,7),'④ 메뉴 원가표'!$N$6:$N$92,0)),"")</f>
      </c>
      <c r="F38" s="45">
        <f>IFERROR(INDEX('④ 메뉴 원가표'!$G$6:$G$92,MATCH(LARGE('④ 메뉴 원가표'!$N$6:$N$92,7),'④ 메뉴 원가표'!$N$6:$N$92,0)),"")</f>
      </c>
      <c r="G38" s="46" t="s">
        <v>66</v>
      </c>
      <c r="H38" s="43">
        <v>7</v>
      </c>
      <c r="I38" s="44">
        <f>IFERROR(INDEX('④ 메뉴 원가표'!$C$6:$C$92,MATCH(SMALL('④ 메뉴 원가표'!$N$6:$N$92,7),'④ 메뉴 원가표'!$N$6:$N$92,0)),"")</f>
      </c>
      <c r="J38" s="47">
        <f>IFERROR(INDEX('④ 메뉴 원가표'!$G$6:$G$92,MATCH(SMALL('④ 메뉴 원가표'!$N$6:$N$92,7),'④ 메뉴 원가표'!$N$6:$N$92,0)),"")</f>
      </c>
    </row>
    <row r="39" spans="2:10" x14ac:dyDescent="0.25">
      <c r="B39" s="48">
        <v>8</v>
      </c>
      <c r="C39" s="49">
        <f>IFERROR(INDEX('④ 메뉴 원가표'!$C$6:$C$92,MATCH(LARGE('④ 메뉴 원가표'!$N$6:$N$92,8),'④ 메뉴 원가표'!$N$6:$N$92,0)),"")</f>
      </c>
      <c r="D39" s="38">
        <f>IFERROR(INDEX('④ 메뉴 원가표'!$D$6:$D$92,MATCH(LARGE('④ 메뉴 원가표'!$N$6:$N$92,8),'④ 메뉴 원가표'!$N$6:$N$92,0)),"")</f>
      </c>
      <c r="E39" s="38">
        <f>IFERROR(INDEX('④ 메뉴 원가표'!$F$6:$F$92,MATCH(LARGE('④ 메뉴 원가표'!$N$6:$N$92,8),'④ 메뉴 원가표'!$N$6:$N$92,0)),"")</f>
      </c>
      <c r="F39" s="50">
        <f>IFERROR(INDEX('④ 메뉴 원가표'!$G$6:$G$92,MATCH(LARGE('④ 메뉴 원가표'!$N$6:$N$92,8),'④ 메뉴 원가표'!$N$6:$N$92,0)),"")</f>
      </c>
      <c r="G39" s="46" t="s">
        <v>66</v>
      </c>
      <c r="H39" s="48">
        <v>8</v>
      </c>
      <c r="I39" s="49">
        <f>IFERROR(INDEX('④ 메뉴 원가표'!$C$6:$C$92,MATCH(SMALL('④ 메뉴 원가표'!$N$6:$N$92,8),'④ 메뉴 원가표'!$N$6:$N$92,0)),"")</f>
      </c>
      <c r="J39" s="51">
        <f>IFERROR(INDEX('④ 메뉴 원가표'!$G$6:$G$92,MATCH(SMALL('④ 메뉴 원가표'!$N$6:$N$92,8),'④ 메뉴 원가표'!$N$6:$N$92,0)),"")</f>
      </c>
    </row>
    <row r="40" spans="2:10" x14ac:dyDescent="0.25">
      <c r="B40" s="43">
        <v>9</v>
      </c>
      <c r="C40" s="44">
        <f>IFERROR(INDEX('④ 메뉴 원가표'!$C$6:$C$92,MATCH(LARGE('④ 메뉴 원가표'!$N$6:$N$92,9),'④ 메뉴 원가표'!$N$6:$N$92,0)),"")</f>
      </c>
      <c r="D40" s="33">
        <f>IFERROR(INDEX('④ 메뉴 원가표'!$D$6:$D$92,MATCH(LARGE('④ 메뉴 원가표'!$N$6:$N$92,9),'④ 메뉴 원가표'!$N$6:$N$92,0)),"")</f>
      </c>
      <c r="E40" s="33">
        <f>IFERROR(INDEX('④ 메뉴 원가표'!$F$6:$F$92,MATCH(LARGE('④ 메뉴 원가표'!$N$6:$N$92,9),'④ 메뉴 원가표'!$N$6:$N$92,0)),"")</f>
      </c>
      <c r="F40" s="45">
        <f>IFERROR(INDEX('④ 메뉴 원가표'!$G$6:$G$92,MATCH(LARGE('④ 메뉴 원가표'!$N$6:$N$92,9),'④ 메뉴 원가표'!$N$6:$N$92,0)),"")</f>
      </c>
      <c r="G40" s="46" t="s">
        <v>66</v>
      </c>
      <c r="H40" s="43">
        <v>9</v>
      </c>
      <c r="I40" s="44">
        <f>IFERROR(INDEX('④ 메뉴 원가표'!$C$6:$C$92,MATCH(SMALL('④ 메뉴 원가표'!$N$6:$N$92,9),'④ 메뉴 원가표'!$N$6:$N$92,0)),"")</f>
      </c>
      <c r="J40" s="47">
        <f>IFERROR(INDEX('④ 메뉴 원가표'!$G$6:$G$92,MATCH(SMALL('④ 메뉴 원가표'!$N$6:$N$92,9),'④ 메뉴 원가표'!$N$6:$N$92,0)),"")</f>
      </c>
    </row>
    <row r="41" spans="2:10" x14ac:dyDescent="0.25">
      <c r="B41" s="48">
        <v>10</v>
      </c>
      <c r="C41" s="49">
        <f>IFERROR(INDEX('④ 메뉴 원가표'!$C$6:$C$92,MATCH(LARGE('④ 메뉴 원가표'!$N$6:$N$92,10),'④ 메뉴 원가표'!$N$6:$N$92,0)),"")</f>
      </c>
      <c r="D41" s="38">
        <f>IFERROR(INDEX('④ 메뉴 원가표'!$D$6:$D$92,MATCH(LARGE('④ 메뉴 원가표'!$N$6:$N$92,10),'④ 메뉴 원가표'!$N$6:$N$92,0)),"")</f>
      </c>
      <c r="E41" s="38">
        <f>IFERROR(INDEX('④ 메뉴 원가표'!$F$6:$F$92,MATCH(LARGE('④ 메뉴 원가표'!$N$6:$N$92,10),'④ 메뉴 원가표'!$N$6:$N$92,0)),"")</f>
      </c>
      <c r="F41" s="50">
        <f>IFERROR(INDEX('④ 메뉴 원가표'!$G$6:$G$92,MATCH(LARGE('④ 메뉴 원가표'!$N$6:$N$92,10),'④ 메뉴 원가표'!$N$6:$N$92,0)),"")</f>
      </c>
      <c r="G41" s="46" t="s">
        <v>66</v>
      </c>
      <c r="H41" s="48">
        <v>10</v>
      </c>
      <c r="I41" s="49">
        <f>IFERROR(INDEX('④ 메뉴 원가표'!$C$6:$C$92,MATCH(SMALL('④ 메뉴 원가표'!$N$6:$N$92,10),'④ 메뉴 원가표'!$N$6:$N$92,0)),"")</f>
      </c>
      <c r="J41" s="51">
        <f>IFERROR(INDEX('④ 메뉴 원가표'!$G$6:$G$92,MATCH(SMALL('④ 메뉴 원가표'!$N$6:$N$92,10),'④ 메뉴 원가표'!$N$6:$N$92,0)),"")</f>
      </c>
    </row>
  </sheetData>
  <mergeCells count="20">
    <mergeCell ref="A1:K1"/>
    <mergeCell ref="A2:K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A7:K7"/>
    <mergeCell ref="B8:C8"/>
    <mergeCell ref="B9:C9"/>
    <mergeCell ref="B10:C10"/>
    <mergeCell ref="B11:C11"/>
    <mergeCell ref="A13:K13"/>
    <mergeCell ref="A30:K30"/>
    <mergeCell ref="H31:J31"/>
  </mergeCells>
  <conditionalFormatting sqref="G15:G28">
    <cfRule type="colorScale" priority="5">
      <colorScale>
        <cfvo type="min"/>
        <cfvo type="percentile" val="50"/>
        <cfvo type="max"/>
        <color rgb="FFD1FAE5"/>
        <color rgb="FFFEF3C7"/>
        <color rgb="FFFECACA"/>
      </colorScale>
    </cfRule>
  </conditionalFormatting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3"/>
  <sheetViews>
    <sheetView workbookViewId="0" showGridLines="0">
      <pane xSplit="3" ySplit="5" topLeftCell="D6" activePane="bottomRight" state="frozen"/>
      <selection pane="bottomRight"/>
    </sheetView>
  </sheetViews>
  <sheetFormatPr defaultRowHeight="19" outlineLevelRow="0" outlineLevelCol="0" x14ac:dyDescent="55" customHeight="1"/>
  <cols>
    <col min="1" max="1" width="6" customWidth="1"/>
    <col min="2" max="2" width="15" customWidth="1"/>
    <col min="3" max="3" width="24" customWidth="1"/>
    <col min="4" max="5" width="12" customWidth="1"/>
    <col min="6" max="6" width="10" customWidth="1"/>
    <col min="7" max="8" width="12" customWidth="1"/>
    <col min="9" max="9" width="10" customWidth="1"/>
    <col min="10" max="10" width="12" customWidth="1"/>
    <col min="11" max="11" width="10" customWidth="1"/>
    <col min="12" max="12" width="13" customWidth="1"/>
    <col min="14" max="14" width="9" hidden="1" customWidth="1"/>
  </cols>
  <sheetData>
    <row r="1" ht="34" customHeight="1" spans="1:14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 x14ac:dyDescent="0.25">
      <c r="A3" s="52" t="s">
        <v>95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5" ht="26" customHeight="1" spans="1:14" x14ac:dyDescent="0.25">
      <c r="A5" s="30" t="s">
        <v>96</v>
      </c>
      <c r="B5" s="30" t="s">
        <v>67</v>
      </c>
      <c r="C5" s="30" t="s">
        <v>91</v>
      </c>
      <c r="D5" s="30" t="s">
        <v>97</v>
      </c>
      <c r="E5" s="30" t="s">
        <v>37</v>
      </c>
      <c r="F5" s="30" t="s">
        <v>70</v>
      </c>
      <c r="G5" s="30" t="s">
        <v>98</v>
      </c>
      <c r="H5" s="30" t="s">
        <v>72</v>
      </c>
      <c r="I5" s="30" t="s">
        <v>73</v>
      </c>
      <c r="J5" s="30" t="s">
        <v>99</v>
      </c>
      <c r="K5" s="30" t="s">
        <v>100</v>
      </c>
      <c r="L5" s="30" t="s">
        <v>74</v>
      </c>
      <c r="M5" s="30" t="s">
        <v>101</v>
      </c>
      <c r="N5" s="30" t="s">
        <v>102</v>
      </c>
    </row>
    <row r="6" spans="1:14" x14ac:dyDescent="0.25">
      <c r="A6" s="53">
        <v>1</v>
      </c>
      <c r="B6" s="54" t="s">
        <v>75</v>
      </c>
      <c r="C6" s="31" t="s">
        <v>103</v>
      </c>
      <c r="D6" s="55">
        <v>15000</v>
      </c>
      <c r="E6" s="56">
        <f>ROUND($D6/'③ 고정비 설정'!$C$25,0)</f>
      </c>
      <c r="F6" s="57">
        <f>ROUND(SUMIF('⑤ 레시피 상세'!$B$6:$B$593,$C6,'⑤ 레시피 상세'!$K$6:$K$593),1)</f>
      </c>
      <c r="G6" s="58">
        <f>IF($E6&gt;0,$F6/$E6,"")</f>
      </c>
      <c r="H6" s="57">
        <f>ROUND($E6*'③ 고정비 설정'!$C$28,0)</f>
      </c>
      <c r="I6" s="57">
        <f>ROUND($F6+$H6,0)</f>
      </c>
      <c r="J6" s="59">
        <f>IF($E6&gt;0,$I6/$E6,"")</f>
      </c>
      <c r="K6" s="57">
        <f>IF($E6&gt;0,$E6-$I6,"")</f>
      </c>
      <c r="L6" s="60">
        <f>IF($E6&gt;0,$K6/$E6,"")</f>
      </c>
      <c r="M6" s="61">
        <f>IF($D6&lt;=0,"⬜ 판매가 입력",IF($F6&lt;=0,"⬜ 재료 확인",IF($G6&lt;='③ 고정비 설정'!$C$29,"✅ 양호",IF($G6&lt;='③ 고정비 설정'!$C$30,"🟡 주의","🔴 과다"))))</f>
      </c>
      <c r="N6" s="62">
        <f>IF($D6&gt;0,$G6+ROW()/1000000,"")</f>
      </c>
    </row>
    <row r="7" spans="1:14" x14ac:dyDescent="0.25">
      <c r="A7" s="63">
        <v>2</v>
      </c>
      <c r="B7" s="64" t="s">
        <v>75</v>
      </c>
      <c r="C7" s="36" t="s">
        <v>104</v>
      </c>
      <c r="D7" s="55">
        <v>13000</v>
      </c>
      <c r="E7" s="56">
        <f>ROUND($D7/'③ 고정비 설정'!$C$25,0)</f>
      </c>
      <c r="F7" s="57">
        <f>ROUND(SUMIF('⑤ 레시피 상세'!$B$6:$B$593,$C7,'⑤ 레시피 상세'!$K$6:$K$593),1)</f>
      </c>
      <c r="G7" s="58">
        <f>IF($E7&gt;0,$F7/$E7,"")</f>
      </c>
      <c r="H7" s="57">
        <f>ROUND($E7*'③ 고정비 설정'!$C$28,0)</f>
      </c>
      <c r="I7" s="57">
        <f>ROUND($F7+$H7,0)</f>
      </c>
      <c r="J7" s="59">
        <f>IF($E7&gt;0,$I7/$E7,"")</f>
      </c>
      <c r="K7" s="57">
        <f>IF($E7&gt;0,$E7-$I7,"")</f>
      </c>
      <c r="L7" s="60">
        <f>IF($E7&gt;0,$K7/$E7,"")</f>
      </c>
      <c r="M7" s="61">
        <f>IF($D7&lt;=0,"⬜ 판매가 입력",IF($F7&lt;=0,"⬜ 재료 확인",IF($G7&lt;='③ 고정비 설정'!$C$29,"✅ 양호",IF($G7&lt;='③ 고정비 설정'!$C$30,"🟡 주의","🔴 과다"))))</f>
      </c>
      <c r="N7" s="62">
        <f>IF($D7&gt;0,$G7+ROW()/1000000,"")</f>
      </c>
    </row>
    <row r="8" spans="1:14" x14ac:dyDescent="0.25">
      <c r="A8" s="53">
        <v>3</v>
      </c>
      <c r="B8" s="54" t="s">
        <v>75</v>
      </c>
      <c r="C8" s="31" t="s">
        <v>105</v>
      </c>
      <c r="D8" s="55">
        <v>14000</v>
      </c>
      <c r="E8" s="56">
        <f>ROUND($D8/'③ 고정비 설정'!$C$25,0)</f>
      </c>
      <c r="F8" s="57">
        <f>ROUND(SUMIF('⑤ 레시피 상세'!$B$6:$B$593,$C8,'⑤ 레시피 상세'!$K$6:$K$593),1)</f>
      </c>
      <c r="G8" s="58">
        <f>IF($E8&gt;0,$F8/$E8,"")</f>
      </c>
      <c r="H8" s="57">
        <f>ROUND($E8*'③ 고정비 설정'!$C$28,0)</f>
      </c>
      <c r="I8" s="57">
        <f>ROUND($F8+$H8,0)</f>
      </c>
      <c r="J8" s="59">
        <f>IF($E8&gt;0,$I8/$E8,"")</f>
      </c>
      <c r="K8" s="57">
        <f>IF($E8&gt;0,$E8-$I8,"")</f>
      </c>
      <c r="L8" s="60">
        <f>IF($E8&gt;0,$K8/$E8,"")</f>
      </c>
      <c r="M8" s="61">
        <f>IF($D8&lt;=0,"⬜ 판매가 입력",IF($F8&lt;=0,"⬜ 재료 확인",IF($G8&lt;='③ 고정비 설정'!$C$29,"✅ 양호",IF($G8&lt;='③ 고정비 설정'!$C$30,"🟡 주의","🔴 과다"))))</f>
      </c>
      <c r="N8" s="62">
        <f>IF($D8&gt;0,$G8+ROW()/1000000,"")</f>
      </c>
    </row>
    <row r="9" spans="1:14" x14ac:dyDescent="0.25">
      <c r="A9" s="63">
        <v>4</v>
      </c>
      <c r="B9" s="64" t="s">
        <v>75</v>
      </c>
      <c r="C9" s="36" t="s">
        <v>106</v>
      </c>
      <c r="D9" s="55">
        <v>12000</v>
      </c>
      <c r="E9" s="56">
        <f>ROUND($D9/'③ 고정비 설정'!$C$25,0)</f>
      </c>
      <c r="F9" s="57">
        <f>ROUND(SUMIF('⑤ 레시피 상세'!$B$6:$B$593,$C9,'⑤ 레시피 상세'!$K$6:$K$593),1)</f>
      </c>
      <c r="G9" s="58">
        <f>IF($E9&gt;0,$F9/$E9,"")</f>
      </c>
      <c r="H9" s="57">
        <f>ROUND($E9*'③ 고정비 설정'!$C$28,0)</f>
      </c>
      <c r="I9" s="57">
        <f>ROUND($F9+$H9,0)</f>
      </c>
      <c r="J9" s="59">
        <f>IF($E9&gt;0,$I9/$E9,"")</f>
      </c>
      <c r="K9" s="57">
        <f>IF($E9&gt;0,$E9-$I9,"")</f>
      </c>
      <c r="L9" s="60">
        <f>IF($E9&gt;0,$K9/$E9,"")</f>
      </c>
      <c r="M9" s="61">
        <f>IF($D9&lt;=0,"⬜ 판매가 입력",IF($F9&lt;=0,"⬜ 재료 확인",IF($G9&lt;='③ 고정비 설정'!$C$29,"✅ 양호",IF($G9&lt;='③ 고정비 설정'!$C$30,"🟡 주의","🔴 과다"))))</f>
      </c>
      <c r="N9" s="62">
        <f>IF($D9&gt;0,$G9+ROW()/1000000,"")</f>
      </c>
    </row>
    <row r="10" spans="1:14" x14ac:dyDescent="0.25">
      <c r="A10" s="53">
        <v>5</v>
      </c>
      <c r="B10" s="54" t="s">
        <v>75</v>
      </c>
      <c r="C10" s="31" t="s">
        <v>107</v>
      </c>
      <c r="D10" s="55">
        <v>12000</v>
      </c>
      <c r="E10" s="56">
        <f>ROUND($D10/'③ 고정비 설정'!$C$25,0)</f>
      </c>
      <c r="F10" s="57">
        <f>ROUND(SUMIF('⑤ 레시피 상세'!$B$6:$B$593,$C10,'⑤ 레시피 상세'!$K$6:$K$593),1)</f>
      </c>
      <c r="G10" s="58">
        <f>IF($E10&gt;0,$F10/$E10,"")</f>
      </c>
      <c r="H10" s="57">
        <f>ROUND($E10*'③ 고정비 설정'!$C$28,0)</f>
      </c>
      <c r="I10" s="57">
        <f>ROUND($F10+$H10,0)</f>
      </c>
      <c r="J10" s="59">
        <f>IF($E10&gt;0,$I10/$E10,"")</f>
      </c>
      <c r="K10" s="57">
        <f>IF($E10&gt;0,$E10-$I10,"")</f>
      </c>
      <c r="L10" s="60">
        <f>IF($E10&gt;0,$K10/$E10,"")</f>
      </c>
      <c r="M10" s="61">
        <f>IF($D10&lt;=0,"⬜ 판매가 입력",IF($F10&lt;=0,"⬜ 재료 확인",IF($G10&lt;='③ 고정비 설정'!$C$29,"✅ 양호",IF($G10&lt;='③ 고정비 설정'!$C$30,"🟡 주의","🔴 과다"))))</f>
      </c>
      <c r="N10" s="62">
        <f>IF($D10&gt;0,$G10+ROW()/1000000,"")</f>
      </c>
    </row>
    <row r="11" spans="1:14" x14ac:dyDescent="0.25">
      <c r="A11" s="63">
        <v>6</v>
      </c>
      <c r="B11" s="64" t="s">
        <v>75</v>
      </c>
      <c r="C11" s="36" t="s">
        <v>108</v>
      </c>
      <c r="D11" s="55">
        <v>14000</v>
      </c>
      <c r="E11" s="56">
        <f>ROUND($D11/'③ 고정비 설정'!$C$25,0)</f>
      </c>
      <c r="F11" s="57">
        <f>ROUND(SUMIF('⑤ 레시피 상세'!$B$6:$B$593,$C11,'⑤ 레시피 상세'!$K$6:$K$593),1)</f>
      </c>
      <c r="G11" s="58">
        <f>IF($E11&gt;0,$F11/$E11,"")</f>
      </c>
      <c r="H11" s="57">
        <f>ROUND($E11*'③ 고정비 설정'!$C$28,0)</f>
      </c>
      <c r="I11" s="57">
        <f>ROUND($F11+$H11,0)</f>
      </c>
      <c r="J11" s="59">
        <f>IF($E11&gt;0,$I11/$E11,"")</f>
      </c>
      <c r="K11" s="57">
        <f>IF($E11&gt;0,$E11-$I11,"")</f>
      </c>
      <c r="L11" s="60">
        <f>IF($E11&gt;0,$K11/$E11,"")</f>
      </c>
      <c r="M11" s="61">
        <f>IF($D11&lt;=0,"⬜ 판매가 입력",IF($F11&lt;=0,"⬜ 재료 확인",IF($G11&lt;='③ 고정비 설정'!$C$29,"✅ 양호",IF($G11&lt;='③ 고정비 설정'!$C$30,"🟡 주의","🔴 과다"))))</f>
      </c>
      <c r="N11" s="62">
        <f>IF($D11&gt;0,$G11+ROW()/1000000,"")</f>
      </c>
    </row>
    <row r="12" spans="1:14" x14ac:dyDescent="0.25">
      <c r="A12" s="53">
        <v>7</v>
      </c>
      <c r="B12" s="54" t="s">
        <v>75</v>
      </c>
      <c r="C12" s="31" t="s">
        <v>109</v>
      </c>
      <c r="D12" s="55">
        <v>12000</v>
      </c>
      <c r="E12" s="56">
        <f>ROUND($D12/'③ 고정비 설정'!$C$25,0)</f>
      </c>
      <c r="F12" s="57">
        <f>ROUND(SUMIF('⑤ 레시피 상세'!$B$6:$B$593,$C12,'⑤ 레시피 상세'!$K$6:$K$593),1)</f>
      </c>
      <c r="G12" s="58">
        <f>IF($E12&gt;0,$F12/$E12,"")</f>
      </c>
      <c r="H12" s="57">
        <f>ROUND($E12*'③ 고정비 설정'!$C$28,0)</f>
      </c>
      <c r="I12" s="57">
        <f>ROUND($F12+$H12,0)</f>
      </c>
      <c r="J12" s="59">
        <f>IF($E12&gt;0,$I12/$E12,"")</f>
      </c>
      <c r="K12" s="57">
        <f>IF($E12&gt;0,$E12-$I12,"")</f>
      </c>
      <c r="L12" s="60">
        <f>IF($E12&gt;0,$K12/$E12,"")</f>
      </c>
      <c r="M12" s="61">
        <f>IF($D12&lt;=0,"⬜ 판매가 입력",IF($F12&lt;=0,"⬜ 재료 확인",IF($G12&lt;='③ 고정비 설정'!$C$29,"✅ 양호",IF($G12&lt;='③ 고정비 설정'!$C$30,"🟡 주의","🔴 과다"))))</f>
      </c>
      <c r="N12" s="62">
        <f>IF($D12&gt;0,$G12+ROW()/1000000,"")</f>
      </c>
    </row>
    <row r="13" spans="1:14" x14ac:dyDescent="0.25">
      <c r="A13" s="63">
        <v>8</v>
      </c>
      <c r="B13" s="64" t="s">
        <v>75</v>
      </c>
      <c r="C13" s="36" t="s">
        <v>110</v>
      </c>
      <c r="D13" s="55">
        <v>12000</v>
      </c>
      <c r="E13" s="56">
        <f>ROUND($D13/'③ 고정비 설정'!$C$25,0)</f>
      </c>
      <c r="F13" s="57">
        <f>ROUND(SUMIF('⑤ 레시피 상세'!$B$6:$B$593,$C13,'⑤ 레시피 상세'!$K$6:$K$593),1)</f>
      </c>
      <c r="G13" s="58">
        <f>IF($E13&gt;0,$F13/$E13,"")</f>
      </c>
      <c r="H13" s="57">
        <f>ROUND($E13*'③ 고정비 설정'!$C$28,0)</f>
      </c>
      <c r="I13" s="57">
        <f>ROUND($F13+$H13,0)</f>
      </c>
      <c r="J13" s="59">
        <f>IF($E13&gt;0,$I13/$E13,"")</f>
      </c>
      <c r="K13" s="57">
        <f>IF($E13&gt;0,$E13-$I13,"")</f>
      </c>
      <c r="L13" s="60">
        <f>IF($E13&gt;0,$K13/$E13,"")</f>
      </c>
      <c r="M13" s="61">
        <f>IF($D13&lt;=0,"⬜ 판매가 입력",IF($F13&lt;=0,"⬜ 재료 확인",IF($G13&lt;='③ 고정비 설정'!$C$29,"✅ 양호",IF($G13&lt;='③ 고정비 설정'!$C$30,"🟡 주의","🔴 과다"))))</f>
      </c>
      <c r="N13" s="62">
        <f>IF($D13&gt;0,$G13+ROW()/1000000,"")</f>
      </c>
    </row>
    <row r="14" spans="1:14" x14ac:dyDescent="0.25">
      <c r="A14" s="53">
        <v>9</v>
      </c>
      <c r="B14" s="54" t="s">
        <v>75</v>
      </c>
      <c r="C14" s="31" t="s">
        <v>111</v>
      </c>
      <c r="D14" s="55">
        <v>13000</v>
      </c>
      <c r="E14" s="56">
        <f>ROUND($D14/'③ 고정비 설정'!$C$25,0)</f>
      </c>
      <c r="F14" s="57">
        <f>ROUND(SUMIF('⑤ 레시피 상세'!$B$6:$B$593,$C14,'⑤ 레시피 상세'!$K$6:$K$593),1)</f>
      </c>
      <c r="G14" s="58">
        <f>IF($E14&gt;0,$F14/$E14,"")</f>
      </c>
      <c r="H14" s="57">
        <f>ROUND($E14*'③ 고정비 설정'!$C$28,0)</f>
      </c>
      <c r="I14" s="57">
        <f>ROUND($F14+$H14,0)</f>
      </c>
      <c r="J14" s="59">
        <f>IF($E14&gt;0,$I14/$E14,"")</f>
      </c>
      <c r="K14" s="57">
        <f>IF($E14&gt;0,$E14-$I14,"")</f>
      </c>
      <c r="L14" s="60">
        <f>IF($E14&gt;0,$K14/$E14,"")</f>
      </c>
      <c r="M14" s="61">
        <f>IF($D14&lt;=0,"⬜ 판매가 입력",IF($F14&lt;=0,"⬜ 재료 확인",IF($G14&lt;='③ 고정비 설정'!$C$29,"✅ 양호",IF($G14&lt;='③ 고정비 설정'!$C$30,"🟡 주의","🔴 과다"))))</f>
      </c>
      <c r="N14" s="62">
        <f>IF($D14&gt;0,$G14+ROW()/1000000,"")</f>
      </c>
    </row>
    <row r="15" spans="1:14" x14ac:dyDescent="0.25">
      <c r="A15" s="63">
        <v>10</v>
      </c>
      <c r="B15" s="64" t="s">
        <v>75</v>
      </c>
      <c r="C15" s="36" t="s">
        <v>112</v>
      </c>
      <c r="D15" s="55">
        <v>13000</v>
      </c>
      <c r="E15" s="56">
        <f>ROUND($D15/'③ 고정비 설정'!$C$25,0)</f>
      </c>
      <c r="F15" s="57">
        <f>ROUND(SUMIF('⑤ 레시피 상세'!$B$6:$B$593,$C15,'⑤ 레시피 상세'!$K$6:$K$593),1)</f>
      </c>
      <c r="G15" s="58">
        <f>IF($E15&gt;0,$F15/$E15,"")</f>
      </c>
      <c r="H15" s="57">
        <f>ROUND($E15*'③ 고정비 설정'!$C$28,0)</f>
      </c>
      <c r="I15" s="57">
        <f>ROUND($F15+$H15,0)</f>
      </c>
      <c r="J15" s="59">
        <f>IF($E15&gt;0,$I15/$E15,"")</f>
      </c>
      <c r="K15" s="57">
        <f>IF($E15&gt;0,$E15-$I15,"")</f>
      </c>
      <c r="L15" s="60">
        <f>IF($E15&gt;0,$K15/$E15,"")</f>
      </c>
      <c r="M15" s="61">
        <f>IF($D15&lt;=0,"⬜ 판매가 입력",IF($F15&lt;=0,"⬜ 재료 확인",IF($G15&lt;='③ 고정비 설정'!$C$29,"✅ 양호",IF($G15&lt;='③ 고정비 설정'!$C$30,"🟡 주의","🔴 과다"))))</f>
      </c>
      <c r="N15" s="62">
        <f>IF($D15&gt;0,$G15+ROW()/1000000,"")</f>
      </c>
    </row>
    <row r="16" spans="1:14" x14ac:dyDescent="0.25">
      <c r="A16" s="53">
        <v>11</v>
      </c>
      <c r="B16" s="54" t="s">
        <v>75</v>
      </c>
      <c r="C16" s="31" t="s">
        <v>113</v>
      </c>
      <c r="D16" s="55">
        <v>13000</v>
      </c>
      <c r="E16" s="56">
        <f>ROUND($D16/'③ 고정비 설정'!$C$25,0)</f>
      </c>
      <c r="F16" s="57">
        <f>ROUND(SUMIF('⑤ 레시피 상세'!$B$6:$B$593,$C16,'⑤ 레시피 상세'!$K$6:$K$593),1)</f>
      </c>
      <c r="G16" s="58">
        <f>IF($E16&gt;0,$F16/$E16,"")</f>
      </c>
      <c r="H16" s="57">
        <f>ROUND($E16*'③ 고정비 설정'!$C$28,0)</f>
      </c>
      <c r="I16" s="57">
        <f>ROUND($F16+$H16,0)</f>
      </c>
      <c r="J16" s="59">
        <f>IF($E16&gt;0,$I16/$E16,"")</f>
      </c>
      <c r="K16" s="57">
        <f>IF($E16&gt;0,$E16-$I16,"")</f>
      </c>
      <c r="L16" s="60">
        <f>IF($E16&gt;0,$K16/$E16,"")</f>
      </c>
      <c r="M16" s="61">
        <f>IF($D16&lt;=0,"⬜ 판매가 입력",IF($F16&lt;=0,"⬜ 재료 확인",IF($G16&lt;='③ 고정비 설정'!$C$29,"✅ 양호",IF($G16&lt;='③ 고정비 설정'!$C$30,"🟡 주의","🔴 과다"))))</f>
      </c>
      <c r="N16" s="62">
        <f>IF($D16&gt;0,$G16+ROW()/1000000,"")</f>
      </c>
    </row>
    <row r="17" spans="1:14" x14ac:dyDescent="0.25">
      <c r="A17" s="63">
        <v>12</v>
      </c>
      <c r="B17" s="64" t="s">
        <v>76</v>
      </c>
      <c r="C17" s="36" t="s">
        <v>114</v>
      </c>
      <c r="D17" s="55">
        <v>14000</v>
      </c>
      <c r="E17" s="56">
        <f>ROUND($D17/'③ 고정비 설정'!$C$25,0)</f>
      </c>
      <c r="F17" s="57">
        <f>ROUND(SUMIF('⑤ 레시피 상세'!$B$6:$B$593,$C17,'⑤ 레시피 상세'!$K$6:$K$593),1)</f>
      </c>
      <c r="G17" s="58">
        <f>IF($E17&gt;0,$F17/$E17,"")</f>
      </c>
      <c r="H17" s="57">
        <f>ROUND($E17*'③ 고정비 설정'!$C$28,0)</f>
      </c>
      <c r="I17" s="57">
        <f>ROUND($F17+$H17,0)</f>
      </c>
      <c r="J17" s="59">
        <f>IF($E17&gt;0,$I17/$E17,"")</f>
      </c>
      <c r="K17" s="57">
        <f>IF($E17&gt;0,$E17-$I17,"")</f>
      </c>
      <c r="L17" s="60">
        <f>IF($E17&gt;0,$K17/$E17,"")</f>
      </c>
      <c r="M17" s="61">
        <f>IF($D17&lt;=0,"⬜ 판매가 입력",IF($F17&lt;=0,"⬜ 재료 확인",IF($G17&lt;='③ 고정비 설정'!$C$29,"✅ 양호",IF($G17&lt;='③ 고정비 설정'!$C$30,"🟡 주의","🔴 과다"))))</f>
      </c>
      <c r="N17" s="62">
        <f>IF($D17&gt;0,$G17+ROW()/1000000,"")</f>
      </c>
    </row>
    <row r="18" spans="1:14" x14ac:dyDescent="0.25">
      <c r="A18" s="53">
        <v>13</v>
      </c>
      <c r="B18" s="54" t="s">
        <v>76</v>
      </c>
      <c r="C18" s="31" t="s">
        <v>115</v>
      </c>
      <c r="D18" s="55">
        <v>14000</v>
      </c>
      <c r="E18" s="56">
        <f>ROUND($D18/'③ 고정비 설정'!$C$25,0)</f>
      </c>
      <c r="F18" s="57">
        <f>ROUND(SUMIF('⑤ 레시피 상세'!$B$6:$B$593,$C18,'⑤ 레시피 상세'!$K$6:$K$593),1)</f>
      </c>
      <c r="G18" s="58">
        <f>IF($E18&gt;0,$F18/$E18,"")</f>
      </c>
      <c r="H18" s="57">
        <f>ROUND($E18*'③ 고정비 설정'!$C$28,0)</f>
      </c>
      <c r="I18" s="57">
        <f>ROUND($F18+$H18,0)</f>
      </c>
      <c r="J18" s="59">
        <f>IF($E18&gt;0,$I18/$E18,"")</f>
      </c>
      <c r="K18" s="57">
        <f>IF($E18&gt;0,$E18-$I18,"")</f>
      </c>
      <c r="L18" s="60">
        <f>IF($E18&gt;0,$K18/$E18,"")</f>
      </c>
      <c r="M18" s="61">
        <f>IF($D18&lt;=0,"⬜ 판매가 입력",IF($F18&lt;=0,"⬜ 재료 확인",IF($G18&lt;='③ 고정비 설정'!$C$29,"✅ 양호",IF($G18&lt;='③ 고정비 설정'!$C$30,"🟡 주의","🔴 과다"))))</f>
      </c>
      <c r="N18" s="62">
        <f>IF($D18&gt;0,$G18+ROW()/1000000,"")</f>
      </c>
    </row>
    <row r="19" spans="1:14" x14ac:dyDescent="0.25">
      <c r="A19" s="63">
        <v>14</v>
      </c>
      <c r="B19" s="64" t="s">
        <v>76</v>
      </c>
      <c r="C19" s="36" t="s">
        <v>116</v>
      </c>
      <c r="D19" s="55">
        <v>15000</v>
      </c>
      <c r="E19" s="56">
        <f>ROUND($D19/'③ 고정비 설정'!$C$25,0)</f>
      </c>
      <c r="F19" s="57">
        <f>ROUND(SUMIF('⑤ 레시피 상세'!$B$6:$B$593,$C19,'⑤ 레시피 상세'!$K$6:$K$593),1)</f>
      </c>
      <c r="G19" s="58">
        <f>IF($E19&gt;0,$F19/$E19,"")</f>
      </c>
      <c r="H19" s="57">
        <f>ROUND($E19*'③ 고정비 설정'!$C$28,0)</f>
      </c>
      <c r="I19" s="57">
        <f>ROUND($F19+$H19,0)</f>
      </c>
      <c r="J19" s="59">
        <f>IF($E19&gt;0,$I19/$E19,"")</f>
      </c>
      <c r="K19" s="57">
        <f>IF($E19&gt;0,$E19-$I19,"")</f>
      </c>
      <c r="L19" s="60">
        <f>IF($E19&gt;0,$K19/$E19,"")</f>
      </c>
      <c r="M19" s="61">
        <f>IF($D19&lt;=0,"⬜ 판매가 입력",IF($F19&lt;=0,"⬜ 재료 확인",IF($G19&lt;='③ 고정비 설정'!$C$29,"✅ 양호",IF($G19&lt;='③ 고정비 설정'!$C$30,"🟡 주의","🔴 과다"))))</f>
      </c>
      <c r="N19" s="62">
        <f>IF($D19&gt;0,$G19+ROW()/1000000,"")</f>
      </c>
    </row>
    <row r="20" spans="1:14" x14ac:dyDescent="0.25">
      <c r="A20" s="53">
        <v>15</v>
      </c>
      <c r="B20" s="54" t="s">
        <v>76</v>
      </c>
      <c r="C20" s="31" t="s">
        <v>117</v>
      </c>
      <c r="D20" s="55">
        <v>14000</v>
      </c>
      <c r="E20" s="56">
        <f>ROUND($D20/'③ 고정비 설정'!$C$25,0)</f>
      </c>
      <c r="F20" s="57">
        <f>ROUND(SUMIF('⑤ 레시피 상세'!$B$6:$B$593,$C20,'⑤ 레시피 상세'!$K$6:$K$593),1)</f>
      </c>
      <c r="G20" s="58">
        <f>IF($E20&gt;0,$F20/$E20,"")</f>
      </c>
      <c r="H20" s="57">
        <f>ROUND($E20*'③ 고정비 설정'!$C$28,0)</f>
      </c>
      <c r="I20" s="57">
        <f>ROUND($F20+$H20,0)</f>
      </c>
      <c r="J20" s="59">
        <f>IF($E20&gt;0,$I20/$E20,"")</f>
      </c>
      <c r="K20" s="57">
        <f>IF($E20&gt;0,$E20-$I20,"")</f>
      </c>
      <c r="L20" s="60">
        <f>IF($E20&gt;0,$K20/$E20,"")</f>
      </c>
      <c r="M20" s="61">
        <f>IF($D20&lt;=0,"⬜ 판매가 입력",IF($F20&lt;=0,"⬜ 재료 확인",IF($G20&lt;='③ 고정비 설정'!$C$29,"✅ 양호",IF($G20&lt;='③ 고정비 설정'!$C$30,"🟡 주의","🔴 과다"))))</f>
      </c>
      <c r="N20" s="62">
        <f>IF($D20&gt;0,$G20+ROW()/1000000,"")</f>
      </c>
    </row>
    <row r="21" spans="1:14" x14ac:dyDescent="0.25">
      <c r="A21" s="63">
        <v>16</v>
      </c>
      <c r="B21" s="64" t="s">
        <v>76</v>
      </c>
      <c r="C21" s="36" t="s">
        <v>118</v>
      </c>
      <c r="D21" s="55">
        <v>13000</v>
      </c>
      <c r="E21" s="56">
        <f>ROUND($D21/'③ 고정비 설정'!$C$25,0)</f>
      </c>
      <c r="F21" s="57">
        <f>ROUND(SUMIF('⑤ 레시피 상세'!$B$6:$B$593,$C21,'⑤ 레시피 상세'!$K$6:$K$593),1)</f>
      </c>
      <c r="G21" s="58">
        <f>IF($E21&gt;0,$F21/$E21,"")</f>
      </c>
      <c r="H21" s="57">
        <f>ROUND($E21*'③ 고정비 설정'!$C$28,0)</f>
      </c>
      <c r="I21" s="57">
        <f>ROUND($F21+$H21,0)</f>
      </c>
      <c r="J21" s="59">
        <f>IF($E21&gt;0,$I21/$E21,"")</f>
      </c>
      <c r="K21" s="57">
        <f>IF($E21&gt;0,$E21-$I21,"")</f>
      </c>
      <c r="L21" s="60">
        <f>IF($E21&gt;0,$K21/$E21,"")</f>
      </c>
      <c r="M21" s="61">
        <f>IF($D21&lt;=0,"⬜ 판매가 입력",IF($F21&lt;=0,"⬜ 재료 확인",IF($G21&lt;='③ 고정비 설정'!$C$29,"✅ 양호",IF($G21&lt;='③ 고정비 설정'!$C$30,"🟡 주의","🔴 과다"))))</f>
      </c>
      <c r="N21" s="62">
        <f>IF($D21&gt;0,$G21+ROW()/1000000,"")</f>
      </c>
    </row>
    <row r="22" spans="1:14" x14ac:dyDescent="0.25">
      <c r="A22" s="53">
        <v>17</v>
      </c>
      <c r="B22" s="54" t="s">
        <v>76</v>
      </c>
      <c r="C22" s="31" t="s">
        <v>119</v>
      </c>
      <c r="D22" s="55">
        <v>14000</v>
      </c>
      <c r="E22" s="56">
        <f>ROUND($D22/'③ 고정비 설정'!$C$25,0)</f>
      </c>
      <c r="F22" s="57">
        <f>ROUND(SUMIF('⑤ 레시피 상세'!$B$6:$B$593,$C22,'⑤ 레시피 상세'!$K$6:$K$593),1)</f>
      </c>
      <c r="G22" s="58">
        <f>IF($E22&gt;0,$F22/$E22,"")</f>
      </c>
      <c r="H22" s="57">
        <f>ROUND($E22*'③ 고정비 설정'!$C$28,0)</f>
      </c>
      <c r="I22" s="57">
        <f>ROUND($F22+$H22,0)</f>
      </c>
      <c r="J22" s="59">
        <f>IF($E22&gt;0,$I22/$E22,"")</f>
      </c>
      <c r="K22" s="57">
        <f>IF($E22&gt;0,$E22-$I22,"")</f>
      </c>
      <c r="L22" s="60">
        <f>IF($E22&gt;0,$K22/$E22,"")</f>
      </c>
      <c r="M22" s="61">
        <f>IF($D22&lt;=0,"⬜ 판매가 입력",IF($F22&lt;=0,"⬜ 재료 확인",IF($G22&lt;='③ 고정비 설정'!$C$29,"✅ 양호",IF($G22&lt;='③ 고정비 설정'!$C$30,"🟡 주의","🔴 과다"))))</f>
      </c>
      <c r="N22" s="62">
        <f>IF($D22&gt;0,$G22+ROW()/1000000,"")</f>
      </c>
    </row>
    <row r="23" spans="1:14" x14ac:dyDescent="0.25">
      <c r="A23" s="63">
        <v>18</v>
      </c>
      <c r="B23" s="64" t="s">
        <v>77</v>
      </c>
      <c r="C23" s="36" t="s">
        <v>120</v>
      </c>
      <c r="D23" s="55">
        <v>11000</v>
      </c>
      <c r="E23" s="56">
        <f>ROUND($D23/'③ 고정비 설정'!$C$25,0)</f>
      </c>
      <c r="F23" s="57">
        <f>ROUND(SUMIF('⑤ 레시피 상세'!$B$6:$B$593,$C23,'⑤ 레시피 상세'!$K$6:$K$593),1)</f>
      </c>
      <c r="G23" s="58">
        <f>IF($E23&gt;0,$F23/$E23,"")</f>
      </c>
      <c r="H23" s="57">
        <f>ROUND($E23*'③ 고정비 설정'!$C$28,0)</f>
      </c>
      <c r="I23" s="57">
        <f>ROUND($F23+$H23,0)</f>
      </c>
      <c r="J23" s="59">
        <f>IF($E23&gt;0,$I23/$E23,"")</f>
      </c>
      <c r="K23" s="57">
        <f>IF($E23&gt;0,$E23-$I23,"")</f>
      </c>
      <c r="L23" s="60">
        <f>IF($E23&gt;0,$K23/$E23,"")</f>
      </c>
      <c r="M23" s="61">
        <f>IF($D23&lt;=0,"⬜ 판매가 입력",IF($F23&lt;=0,"⬜ 재료 확인",IF($G23&lt;='③ 고정비 설정'!$C$29,"✅ 양호",IF($G23&lt;='③ 고정비 설정'!$C$30,"🟡 주의","🔴 과다"))))</f>
      </c>
      <c r="N23" s="62">
        <f>IF($D23&gt;0,$G23+ROW()/1000000,"")</f>
      </c>
    </row>
    <row r="24" spans="1:14" x14ac:dyDescent="0.25">
      <c r="A24" s="53">
        <v>19</v>
      </c>
      <c r="B24" s="54" t="s">
        <v>77</v>
      </c>
      <c r="C24" s="31" t="s">
        <v>121</v>
      </c>
      <c r="D24" s="55">
        <v>13000</v>
      </c>
      <c r="E24" s="56">
        <f>ROUND($D24/'③ 고정비 설정'!$C$25,0)</f>
      </c>
      <c r="F24" s="57">
        <f>ROUND(SUMIF('⑤ 레시피 상세'!$B$6:$B$593,$C24,'⑤ 레시피 상세'!$K$6:$K$593),1)</f>
      </c>
      <c r="G24" s="58">
        <f>IF($E24&gt;0,$F24/$E24,"")</f>
      </c>
      <c r="H24" s="57">
        <f>ROUND($E24*'③ 고정비 설정'!$C$28,0)</f>
      </c>
      <c r="I24" s="57">
        <f>ROUND($F24+$H24,0)</f>
      </c>
      <c r="J24" s="59">
        <f>IF($E24&gt;0,$I24/$E24,"")</f>
      </c>
      <c r="K24" s="57">
        <f>IF($E24&gt;0,$E24-$I24,"")</f>
      </c>
      <c r="L24" s="60">
        <f>IF($E24&gt;0,$K24/$E24,"")</f>
      </c>
      <c r="M24" s="61">
        <f>IF($D24&lt;=0,"⬜ 판매가 입력",IF($F24&lt;=0,"⬜ 재료 확인",IF($G24&lt;='③ 고정비 설정'!$C$29,"✅ 양호",IF($G24&lt;='③ 고정비 설정'!$C$30,"🟡 주의","🔴 과다"))))</f>
      </c>
      <c r="N24" s="62">
        <f>IF($D24&gt;0,$G24+ROW()/1000000,"")</f>
      </c>
    </row>
    <row r="25" spans="1:14" x14ac:dyDescent="0.25">
      <c r="A25" s="63">
        <v>20</v>
      </c>
      <c r="B25" s="64" t="s">
        <v>77</v>
      </c>
      <c r="C25" s="36" t="s">
        <v>122</v>
      </c>
      <c r="D25" s="55">
        <v>13000</v>
      </c>
      <c r="E25" s="56">
        <f>ROUND($D25/'③ 고정비 설정'!$C$25,0)</f>
      </c>
      <c r="F25" s="57">
        <f>ROUND(SUMIF('⑤ 레시피 상세'!$B$6:$B$593,$C25,'⑤ 레시피 상세'!$K$6:$K$593),1)</f>
      </c>
      <c r="G25" s="58">
        <f>IF($E25&gt;0,$F25/$E25,"")</f>
      </c>
      <c r="H25" s="57">
        <f>ROUND($E25*'③ 고정비 설정'!$C$28,0)</f>
      </c>
      <c r="I25" s="57">
        <f>ROUND($F25+$H25,0)</f>
      </c>
      <c r="J25" s="59">
        <f>IF($E25&gt;0,$I25/$E25,"")</f>
      </c>
      <c r="K25" s="57">
        <f>IF($E25&gt;0,$E25-$I25,"")</f>
      </c>
      <c r="L25" s="60">
        <f>IF($E25&gt;0,$K25/$E25,"")</f>
      </c>
      <c r="M25" s="61">
        <f>IF($D25&lt;=0,"⬜ 판매가 입력",IF($F25&lt;=0,"⬜ 재료 확인",IF($G25&lt;='③ 고정비 설정'!$C$29,"✅ 양호",IF($G25&lt;='③ 고정비 설정'!$C$30,"🟡 주의","🔴 과다"))))</f>
      </c>
      <c r="N25" s="62">
        <f>IF($D25&gt;0,$G25+ROW()/1000000,"")</f>
      </c>
    </row>
    <row r="26" spans="1:14" x14ac:dyDescent="0.25">
      <c r="A26" s="53">
        <v>21</v>
      </c>
      <c r="B26" s="54" t="s">
        <v>77</v>
      </c>
      <c r="C26" s="31" t="s">
        <v>123</v>
      </c>
      <c r="D26" s="55">
        <v>15000</v>
      </c>
      <c r="E26" s="56">
        <f>ROUND($D26/'③ 고정비 설정'!$C$25,0)</f>
      </c>
      <c r="F26" s="57">
        <f>ROUND(SUMIF('⑤ 레시피 상세'!$B$6:$B$593,$C26,'⑤ 레시피 상세'!$K$6:$K$593),1)</f>
      </c>
      <c r="G26" s="58">
        <f>IF($E26&gt;0,$F26/$E26,"")</f>
      </c>
      <c r="H26" s="57">
        <f>ROUND($E26*'③ 고정비 설정'!$C$28,0)</f>
      </c>
      <c r="I26" s="57">
        <f>ROUND($F26+$H26,0)</f>
      </c>
      <c r="J26" s="59">
        <f>IF($E26&gt;0,$I26/$E26,"")</f>
      </c>
      <c r="K26" s="57">
        <f>IF($E26&gt;0,$E26-$I26,"")</f>
      </c>
      <c r="L26" s="60">
        <f>IF($E26&gt;0,$K26/$E26,"")</f>
      </c>
      <c r="M26" s="61">
        <f>IF($D26&lt;=0,"⬜ 판매가 입력",IF($F26&lt;=0,"⬜ 재료 확인",IF($G26&lt;='③ 고정비 설정'!$C$29,"✅ 양호",IF($G26&lt;='③ 고정비 설정'!$C$30,"🟡 주의","🔴 과다"))))</f>
      </c>
      <c r="N26" s="62">
        <f>IF($D26&gt;0,$G26+ROW()/1000000,"")</f>
      </c>
    </row>
    <row r="27" spans="1:14" x14ac:dyDescent="0.25">
      <c r="A27" s="63">
        <v>22</v>
      </c>
      <c r="B27" s="64" t="s">
        <v>78</v>
      </c>
      <c r="C27" s="36" t="s">
        <v>124</v>
      </c>
      <c r="D27" s="55">
        <v>13000</v>
      </c>
      <c r="E27" s="56">
        <f>ROUND($D27/'③ 고정비 설정'!$C$25,0)</f>
      </c>
      <c r="F27" s="57">
        <f>ROUND(SUMIF('⑤ 레시피 상세'!$B$6:$B$593,$C27,'⑤ 레시피 상세'!$K$6:$K$593),1)</f>
      </c>
      <c r="G27" s="58">
        <f>IF($E27&gt;0,$F27/$E27,"")</f>
      </c>
      <c r="H27" s="57">
        <f>ROUND($E27*'③ 고정비 설정'!$C$28,0)</f>
      </c>
      <c r="I27" s="57">
        <f>ROUND($F27+$H27,0)</f>
      </c>
      <c r="J27" s="59">
        <f>IF($E27&gt;0,$I27/$E27,"")</f>
      </c>
      <c r="K27" s="57">
        <f>IF($E27&gt;0,$E27-$I27,"")</f>
      </c>
      <c r="L27" s="60">
        <f>IF($E27&gt;0,$K27/$E27,"")</f>
      </c>
      <c r="M27" s="61">
        <f>IF($D27&lt;=0,"⬜ 판매가 입력",IF($F27&lt;=0,"⬜ 재료 확인",IF($G27&lt;='③ 고정비 설정'!$C$29,"✅ 양호",IF($G27&lt;='③ 고정비 설정'!$C$30,"🟡 주의","🔴 과다"))))</f>
      </c>
      <c r="N27" s="62">
        <f>IF($D27&gt;0,$G27+ROW()/1000000,"")</f>
      </c>
    </row>
    <row r="28" spans="1:14" x14ac:dyDescent="0.25">
      <c r="A28" s="53">
        <v>23</v>
      </c>
      <c r="B28" s="54" t="s">
        <v>78</v>
      </c>
      <c r="C28" s="31" t="s">
        <v>125</v>
      </c>
      <c r="D28" s="55">
        <v>12000</v>
      </c>
      <c r="E28" s="56">
        <f>ROUND($D28/'③ 고정비 설정'!$C$25,0)</f>
      </c>
      <c r="F28" s="57">
        <f>ROUND(SUMIF('⑤ 레시피 상세'!$B$6:$B$593,$C28,'⑤ 레시피 상세'!$K$6:$K$593),1)</f>
      </c>
      <c r="G28" s="58">
        <f>IF($E28&gt;0,$F28/$E28,"")</f>
      </c>
      <c r="H28" s="57">
        <f>ROUND($E28*'③ 고정비 설정'!$C$28,0)</f>
      </c>
      <c r="I28" s="57">
        <f>ROUND($F28+$H28,0)</f>
      </c>
      <c r="J28" s="59">
        <f>IF($E28&gt;0,$I28/$E28,"")</f>
      </c>
      <c r="K28" s="57">
        <f>IF($E28&gt;0,$E28-$I28,"")</f>
      </c>
      <c r="L28" s="60">
        <f>IF($E28&gt;0,$K28/$E28,"")</f>
      </c>
      <c r="M28" s="61">
        <f>IF($D28&lt;=0,"⬜ 판매가 입력",IF($F28&lt;=0,"⬜ 재료 확인",IF($G28&lt;='③ 고정비 설정'!$C$29,"✅ 양호",IF($G28&lt;='③ 고정비 설정'!$C$30,"🟡 주의","🔴 과다"))))</f>
      </c>
      <c r="N28" s="62">
        <f>IF($D28&gt;0,$G28+ROW()/1000000,"")</f>
      </c>
    </row>
    <row r="29" spans="1:14" x14ac:dyDescent="0.25">
      <c r="A29" s="63">
        <v>24</v>
      </c>
      <c r="B29" s="64" t="s">
        <v>78</v>
      </c>
      <c r="C29" s="36" t="s">
        <v>126</v>
      </c>
      <c r="D29" s="55">
        <v>13500</v>
      </c>
      <c r="E29" s="56">
        <f>ROUND($D29/'③ 고정비 설정'!$C$25,0)</f>
      </c>
      <c r="F29" s="57">
        <f>ROUND(SUMIF('⑤ 레시피 상세'!$B$6:$B$593,$C29,'⑤ 레시피 상세'!$K$6:$K$593),1)</f>
      </c>
      <c r="G29" s="58">
        <f>IF($E29&gt;0,$F29/$E29,"")</f>
      </c>
      <c r="H29" s="57">
        <f>ROUND($E29*'③ 고정비 설정'!$C$28,0)</f>
      </c>
      <c r="I29" s="57">
        <f>ROUND($F29+$H29,0)</f>
      </c>
      <c r="J29" s="59">
        <f>IF($E29&gt;0,$I29/$E29,"")</f>
      </c>
      <c r="K29" s="57">
        <f>IF($E29&gt;0,$E29-$I29,"")</f>
      </c>
      <c r="L29" s="60">
        <f>IF($E29&gt;0,$K29/$E29,"")</f>
      </c>
      <c r="M29" s="61">
        <f>IF($D29&lt;=0,"⬜ 판매가 입력",IF($F29&lt;=0,"⬜ 재료 확인",IF($G29&lt;='③ 고정비 설정'!$C$29,"✅ 양호",IF($G29&lt;='③ 고정비 설정'!$C$30,"🟡 주의","🔴 과다"))))</f>
      </c>
      <c r="N29" s="62">
        <f>IF($D29&gt;0,$G29+ROW()/1000000,"")</f>
      </c>
    </row>
    <row r="30" spans="1:14" x14ac:dyDescent="0.25">
      <c r="A30" s="53">
        <v>25</v>
      </c>
      <c r="B30" s="54" t="s">
        <v>78</v>
      </c>
      <c r="C30" s="31" t="s">
        <v>127</v>
      </c>
      <c r="D30" s="55">
        <v>13000</v>
      </c>
      <c r="E30" s="56">
        <f>ROUND($D30/'③ 고정비 설정'!$C$25,0)</f>
      </c>
      <c r="F30" s="57">
        <f>ROUND(SUMIF('⑤ 레시피 상세'!$B$6:$B$593,$C30,'⑤ 레시피 상세'!$K$6:$K$593),1)</f>
      </c>
      <c r="G30" s="58">
        <f>IF($E30&gt;0,$F30/$E30,"")</f>
      </c>
      <c r="H30" s="57">
        <f>ROUND($E30*'③ 고정비 설정'!$C$28,0)</f>
      </c>
      <c r="I30" s="57">
        <f>ROUND($F30+$H30,0)</f>
      </c>
      <c r="J30" s="59">
        <f>IF($E30&gt;0,$I30/$E30,"")</f>
      </c>
      <c r="K30" s="57">
        <f>IF($E30&gt;0,$E30-$I30,"")</f>
      </c>
      <c r="L30" s="60">
        <f>IF($E30&gt;0,$K30/$E30,"")</f>
      </c>
      <c r="M30" s="61">
        <f>IF($D30&lt;=0,"⬜ 판매가 입력",IF($F30&lt;=0,"⬜ 재료 확인",IF($G30&lt;='③ 고정비 설정'!$C$29,"✅ 양호",IF($G30&lt;='③ 고정비 설정'!$C$30,"🟡 주의","🔴 과다"))))</f>
      </c>
      <c r="N30" s="62">
        <f>IF($D30&gt;0,$G30+ROW()/1000000,"")</f>
      </c>
    </row>
    <row r="31" spans="1:14" x14ac:dyDescent="0.25">
      <c r="A31" s="63">
        <v>26</v>
      </c>
      <c r="B31" s="64" t="s">
        <v>78</v>
      </c>
      <c r="C31" s="36" t="s">
        <v>128</v>
      </c>
      <c r="D31" s="55">
        <v>12000</v>
      </c>
      <c r="E31" s="56">
        <f>ROUND($D31/'③ 고정비 설정'!$C$25,0)</f>
      </c>
      <c r="F31" s="57">
        <f>ROUND(SUMIF('⑤ 레시피 상세'!$B$6:$B$593,$C31,'⑤ 레시피 상세'!$K$6:$K$593),1)</f>
      </c>
      <c r="G31" s="58">
        <f>IF($E31&gt;0,$F31/$E31,"")</f>
      </c>
      <c r="H31" s="57">
        <f>ROUND($E31*'③ 고정비 설정'!$C$28,0)</f>
      </c>
      <c r="I31" s="57">
        <f>ROUND($F31+$H31,0)</f>
      </c>
      <c r="J31" s="59">
        <f>IF($E31&gt;0,$I31/$E31,"")</f>
      </c>
      <c r="K31" s="57">
        <f>IF($E31&gt;0,$E31-$I31,"")</f>
      </c>
      <c r="L31" s="60">
        <f>IF($E31&gt;0,$K31/$E31,"")</f>
      </c>
      <c r="M31" s="61">
        <f>IF($D31&lt;=0,"⬜ 판매가 입력",IF($F31&lt;=0,"⬜ 재료 확인",IF($G31&lt;='③ 고정비 설정'!$C$29,"✅ 양호",IF($G31&lt;='③ 고정비 설정'!$C$30,"🟡 주의","🔴 과다"))))</f>
      </c>
      <c r="N31" s="62">
        <f>IF($D31&gt;0,$G31+ROW()/1000000,"")</f>
      </c>
    </row>
    <row r="32" spans="1:14" x14ac:dyDescent="0.25">
      <c r="A32" s="53">
        <v>27</v>
      </c>
      <c r="B32" s="54" t="s">
        <v>78</v>
      </c>
      <c r="C32" s="31" t="s">
        <v>129</v>
      </c>
      <c r="D32" s="55">
        <v>12500</v>
      </c>
      <c r="E32" s="56">
        <f>ROUND($D32/'③ 고정비 설정'!$C$25,0)</f>
      </c>
      <c r="F32" s="57">
        <f>ROUND(SUMIF('⑤ 레시피 상세'!$B$6:$B$593,$C32,'⑤ 레시피 상세'!$K$6:$K$593),1)</f>
      </c>
      <c r="G32" s="58">
        <f>IF($E32&gt;0,$F32/$E32,"")</f>
      </c>
      <c r="H32" s="57">
        <f>ROUND($E32*'③ 고정비 설정'!$C$28,0)</f>
      </c>
      <c r="I32" s="57">
        <f>ROUND($F32+$H32,0)</f>
      </c>
      <c r="J32" s="59">
        <f>IF($E32&gt;0,$I32/$E32,"")</f>
      </c>
      <c r="K32" s="57">
        <f>IF($E32&gt;0,$E32-$I32,"")</f>
      </c>
      <c r="L32" s="60">
        <f>IF($E32&gt;0,$K32/$E32,"")</f>
      </c>
      <c r="M32" s="61">
        <f>IF($D32&lt;=0,"⬜ 판매가 입력",IF($F32&lt;=0,"⬜ 재료 확인",IF($G32&lt;='③ 고정비 설정'!$C$29,"✅ 양호",IF($G32&lt;='③ 고정비 설정'!$C$30,"🟡 주의","🔴 과다"))))</f>
      </c>
      <c r="N32" s="62">
        <f>IF($D32&gt;0,$G32+ROW()/1000000,"")</f>
      </c>
    </row>
    <row r="33" spans="1:14" x14ac:dyDescent="0.25">
      <c r="A33" s="63">
        <v>28</v>
      </c>
      <c r="B33" s="64" t="s">
        <v>78</v>
      </c>
      <c r="C33" s="36" t="s">
        <v>130</v>
      </c>
      <c r="D33" s="55">
        <v>12000</v>
      </c>
      <c r="E33" s="56">
        <f>ROUND($D33/'③ 고정비 설정'!$C$25,0)</f>
      </c>
      <c r="F33" s="57">
        <f>ROUND(SUMIF('⑤ 레시피 상세'!$B$6:$B$593,$C33,'⑤ 레시피 상세'!$K$6:$K$593),1)</f>
      </c>
      <c r="G33" s="58">
        <f>IF($E33&gt;0,$F33/$E33,"")</f>
      </c>
      <c r="H33" s="57">
        <f>ROUND($E33*'③ 고정비 설정'!$C$28,0)</f>
      </c>
      <c r="I33" s="57">
        <f>ROUND($F33+$H33,0)</f>
      </c>
      <c r="J33" s="59">
        <f>IF($E33&gt;0,$I33/$E33,"")</f>
      </c>
      <c r="K33" s="57">
        <f>IF($E33&gt;0,$E33-$I33,"")</f>
      </c>
      <c r="L33" s="60">
        <f>IF($E33&gt;0,$K33/$E33,"")</f>
      </c>
      <c r="M33" s="61">
        <f>IF($D33&lt;=0,"⬜ 판매가 입력",IF($F33&lt;=0,"⬜ 재료 확인",IF($G33&lt;='③ 고정비 설정'!$C$29,"✅ 양호",IF($G33&lt;='③ 고정비 설정'!$C$30,"🟡 주의","🔴 과다"))))</f>
      </c>
      <c r="N33" s="62">
        <f>IF($D33&gt;0,$G33+ROW()/1000000,"")</f>
      </c>
    </row>
    <row r="34" spans="1:14" x14ac:dyDescent="0.25">
      <c r="A34" s="53">
        <v>29</v>
      </c>
      <c r="B34" s="54" t="s">
        <v>78</v>
      </c>
      <c r="C34" s="31" t="s">
        <v>131</v>
      </c>
      <c r="D34" s="55">
        <v>12000</v>
      </c>
      <c r="E34" s="56">
        <f>ROUND($D34/'③ 고정비 설정'!$C$25,0)</f>
      </c>
      <c r="F34" s="57">
        <f>ROUND(SUMIF('⑤ 레시피 상세'!$B$6:$B$593,$C34,'⑤ 레시피 상세'!$K$6:$K$593),1)</f>
      </c>
      <c r="G34" s="58">
        <f>IF($E34&gt;0,$F34/$E34,"")</f>
      </c>
      <c r="H34" s="57">
        <f>ROUND($E34*'③ 고정비 설정'!$C$28,0)</f>
      </c>
      <c r="I34" s="57">
        <f>ROUND($F34+$H34,0)</f>
      </c>
      <c r="J34" s="59">
        <f>IF($E34&gt;0,$I34/$E34,"")</f>
      </c>
      <c r="K34" s="57">
        <f>IF($E34&gt;0,$E34-$I34,"")</f>
      </c>
      <c r="L34" s="60">
        <f>IF($E34&gt;0,$K34/$E34,"")</f>
      </c>
      <c r="M34" s="61">
        <f>IF($D34&lt;=0,"⬜ 판매가 입력",IF($F34&lt;=0,"⬜ 재료 확인",IF($G34&lt;='③ 고정비 설정'!$C$29,"✅ 양호",IF($G34&lt;='③ 고정비 설정'!$C$30,"🟡 주의","🔴 과다"))))</f>
      </c>
      <c r="N34" s="62">
        <f>IF($D34&gt;0,$G34+ROW()/1000000,"")</f>
      </c>
    </row>
    <row r="35" spans="1:14" x14ac:dyDescent="0.25">
      <c r="A35" s="63">
        <v>30</v>
      </c>
      <c r="B35" s="64" t="s">
        <v>78</v>
      </c>
      <c r="C35" s="36" t="s">
        <v>132</v>
      </c>
      <c r="D35" s="55">
        <v>15000</v>
      </c>
      <c r="E35" s="56">
        <f>ROUND($D35/'③ 고정비 설정'!$C$25,0)</f>
      </c>
      <c r="F35" s="57">
        <f>ROUND(SUMIF('⑤ 레시피 상세'!$B$6:$B$593,$C35,'⑤ 레시피 상세'!$K$6:$K$593),1)</f>
      </c>
      <c r="G35" s="58">
        <f>IF($E35&gt;0,$F35/$E35,"")</f>
      </c>
      <c r="H35" s="57">
        <f>ROUND($E35*'③ 고정비 설정'!$C$28,0)</f>
      </c>
      <c r="I35" s="57">
        <f>ROUND($F35+$H35,0)</f>
      </c>
      <c r="J35" s="59">
        <f>IF($E35&gt;0,$I35/$E35,"")</f>
      </c>
      <c r="K35" s="57">
        <f>IF($E35&gt;0,$E35-$I35,"")</f>
      </c>
      <c r="L35" s="60">
        <f>IF($E35&gt;0,$K35/$E35,"")</f>
      </c>
      <c r="M35" s="61">
        <f>IF($D35&lt;=0,"⬜ 판매가 입력",IF($F35&lt;=0,"⬜ 재료 확인",IF($G35&lt;='③ 고정비 설정'!$C$29,"✅ 양호",IF($G35&lt;='③ 고정비 설정'!$C$30,"🟡 주의","🔴 과다"))))</f>
      </c>
      <c r="N35" s="62">
        <f>IF($D35&gt;0,$G35+ROW()/1000000,"")</f>
      </c>
    </row>
    <row r="36" spans="1:14" x14ac:dyDescent="0.25">
      <c r="A36" s="53">
        <v>31</v>
      </c>
      <c r="B36" s="54" t="s">
        <v>78</v>
      </c>
      <c r="C36" s="31" t="s">
        <v>133</v>
      </c>
      <c r="D36" s="55">
        <v>12000</v>
      </c>
      <c r="E36" s="56">
        <f>ROUND($D36/'③ 고정비 설정'!$C$25,0)</f>
      </c>
      <c r="F36" s="57">
        <f>ROUND(SUMIF('⑤ 레시피 상세'!$B$6:$B$593,$C36,'⑤ 레시피 상세'!$K$6:$K$593),1)</f>
      </c>
      <c r="G36" s="58">
        <f>IF($E36&gt;0,$F36/$E36,"")</f>
      </c>
      <c r="H36" s="57">
        <f>ROUND($E36*'③ 고정비 설정'!$C$28,0)</f>
      </c>
      <c r="I36" s="57">
        <f>ROUND($F36+$H36,0)</f>
      </c>
      <c r="J36" s="59">
        <f>IF($E36&gt;0,$I36/$E36,"")</f>
      </c>
      <c r="K36" s="57">
        <f>IF($E36&gt;0,$E36-$I36,"")</f>
      </c>
      <c r="L36" s="60">
        <f>IF($E36&gt;0,$K36/$E36,"")</f>
      </c>
      <c r="M36" s="61">
        <f>IF($D36&lt;=0,"⬜ 판매가 입력",IF($F36&lt;=0,"⬜ 재료 확인",IF($G36&lt;='③ 고정비 설정'!$C$29,"✅ 양호",IF($G36&lt;='③ 고정비 설정'!$C$30,"🟡 주의","🔴 과다"))))</f>
      </c>
      <c r="N36" s="62">
        <f>IF($D36&gt;0,$G36+ROW()/1000000,"")</f>
      </c>
    </row>
    <row r="37" spans="1:14" x14ac:dyDescent="0.25">
      <c r="A37" s="63">
        <v>32</v>
      </c>
      <c r="B37" s="64" t="s">
        <v>78</v>
      </c>
      <c r="C37" s="36" t="s">
        <v>134</v>
      </c>
      <c r="D37" s="55">
        <v>13000</v>
      </c>
      <c r="E37" s="56">
        <f>ROUND($D37/'③ 고정비 설정'!$C$25,0)</f>
      </c>
      <c r="F37" s="57">
        <f>ROUND(SUMIF('⑤ 레시피 상세'!$B$6:$B$593,$C37,'⑤ 레시피 상세'!$K$6:$K$593),1)</f>
      </c>
      <c r="G37" s="58">
        <f>IF($E37&gt;0,$F37/$E37,"")</f>
      </c>
      <c r="H37" s="57">
        <f>ROUND($E37*'③ 고정비 설정'!$C$28,0)</f>
      </c>
      <c r="I37" s="57">
        <f>ROUND($F37+$H37,0)</f>
      </c>
      <c r="J37" s="59">
        <f>IF($E37&gt;0,$I37/$E37,"")</f>
      </c>
      <c r="K37" s="57">
        <f>IF($E37&gt;0,$E37-$I37,"")</f>
      </c>
      <c r="L37" s="60">
        <f>IF($E37&gt;0,$K37/$E37,"")</f>
      </c>
      <c r="M37" s="61">
        <f>IF($D37&lt;=0,"⬜ 판매가 입력",IF($F37&lt;=0,"⬜ 재료 확인",IF($G37&lt;='③ 고정비 설정'!$C$29,"✅ 양호",IF($G37&lt;='③ 고정비 설정'!$C$30,"🟡 주의","🔴 과다"))))</f>
      </c>
      <c r="N37" s="62">
        <f>IF($D37&gt;0,$G37+ROW()/1000000,"")</f>
      </c>
    </row>
    <row r="38" spans="1:14" x14ac:dyDescent="0.25">
      <c r="A38" s="53">
        <v>33</v>
      </c>
      <c r="B38" s="54" t="s">
        <v>78</v>
      </c>
      <c r="C38" s="31" t="s">
        <v>135</v>
      </c>
      <c r="D38" s="55">
        <v>13000</v>
      </c>
      <c r="E38" s="56">
        <f>ROUND($D38/'③ 고정비 설정'!$C$25,0)</f>
      </c>
      <c r="F38" s="57">
        <f>ROUND(SUMIF('⑤ 레시피 상세'!$B$6:$B$593,$C38,'⑤ 레시피 상세'!$K$6:$K$593),1)</f>
      </c>
      <c r="G38" s="58">
        <f>IF($E38&gt;0,$F38/$E38,"")</f>
      </c>
      <c r="H38" s="57">
        <f>ROUND($E38*'③ 고정비 설정'!$C$28,0)</f>
      </c>
      <c r="I38" s="57">
        <f>ROUND($F38+$H38,0)</f>
      </c>
      <c r="J38" s="59">
        <f>IF($E38&gt;0,$I38/$E38,"")</f>
      </c>
      <c r="K38" s="57">
        <f>IF($E38&gt;0,$E38-$I38,"")</f>
      </c>
      <c r="L38" s="60">
        <f>IF($E38&gt;0,$K38/$E38,"")</f>
      </c>
      <c r="M38" s="61">
        <f>IF($D38&lt;=0,"⬜ 판매가 입력",IF($F38&lt;=0,"⬜ 재료 확인",IF($G38&lt;='③ 고정비 설정'!$C$29,"✅ 양호",IF($G38&lt;='③ 고정비 설정'!$C$30,"🟡 주의","🔴 과다"))))</f>
      </c>
      <c r="N38" s="62">
        <f>IF($D38&gt;0,$G38+ROW()/1000000,"")</f>
      </c>
    </row>
    <row r="39" spans="1:14" x14ac:dyDescent="0.25">
      <c r="A39" s="63">
        <v>34</v>
      </c>
      <c r="B39" s="64" t="s">
        <v>78</v>
      </c>
      <c r="C39" s="36" t="s">
        <v>136</v>
      </c>
      <c r="D39" s="55">
        <v>13000</v>
      </c>
      <c r="E39" s="56">
        <f>ROUND($D39/'③ 고정비 설정'!$C$25,0)</f>
      </c>
      <c r="F39" s="57">
        <f>ROUND(SUMIF('⑤ 레시피 상세'!$B$6:$B$593,$C39,'⑤ 레시피 상세'!$K$6:$K$593),1)</f>
      </c>
      <c r="G39" s="58">
        <f>IF($E39&gt;0,$F39/$E39,"")</f>
      </c>
      <c r="H39" s="57">
        <f>ROUND($E39*'③ 고정비 설정'!$C$28,0)</f>
      </c>
      <c r="I39" s="57">
        <f>ROUND($F39+$H39,0)</f>
      </c>
      <c r="J39" s="59">
        <f>IF($E39&gt;0,$I39/$E39,"")</f>
      </c>
      <c r="K39" s="57">
        <f>IF($E39&gt;0,$E39-$I39,"")</f>
      </c>
      <c r="L39" s="60">
        <f>IF($E39&gt;0,$K39/$E39,"")</f>
      </c>
      <c r="M39" s="61">
        <f>IF($D39&lt;=0,"⬜ 판매가 입력",IF($F39&lt;=0,"⬜ 재료 확인",IF($G39&lt;='③ 고정비 설정'!$C$29,"✅ 양호",IF($G39&lt;='③ 고정비 설정'!$C$30,"🟡 주의","🔴 과다"))))</f>
      </c>
      <c r="N39" s="62">
        <f>IF($D39&gt;0,$G39+ROW()/1000000,"")</f>
      </c>
    </row>
    <row r="40" spans="1:14" x14ac:dyDescent="0.25">
      <c r="A40" s="53">
        <v>35</v>
      </c>
      <c r="B40" s="54" t="s">
        <v>79</v>
      </c>
      <c r="C40" s="31" t="s">
        <v>137</v>
      </c>
      <c r="D40" s="55">
        <v>13000</v>
      </c>
      <c r="E40" s="56">
        <f>ROUND($D40/'③ 고정비 설정'!$C$25,0)</f>
      </c>
      <c r="F40" s="57">
        <f>ROUND(SUMIF('⑤ 레시피 상세'!$B$6:$B$593,$C40,'⑤ 레시피 상세'!$K$6:$K$593),1)</f>
      </c>
      <c r="G40" s="58">
        <f>IF($E40&gt;0,$F40/$E40,"")</f>
      </c>
      <c r="H40" s="57">
        <f>ROUND($E40*'③ 고정비 설정'!$C$28,0)</f>
      </c>
      <c r="I40" s="57">
        <f>ROUND($F40+$H40,0)</f>
      </c>
      <c r="J40" s="59">
        <f>IF($E40&gt;0,$I40/$E40,"")</f>
      </c>
      <c r="K40" s="57">
        <f>IF($E40&gt;0,$E40-$I40,"")</f>
      </c>
      <c r="L40" s="60">
        <f>IF($E40&gt;0,$K40/$E40,"")</f>
      </c>
      <c r="M40" s="61">
        <f>IF($D40&lt;=0,"⬜ 판매가 입력",IF($F40&lt;=0,"⬜ 재료 확인",IF($G40&lt;='③ 고정비 설정'!$C$29,"✅ 양호",IF($G40&lt;='③ 고정비 설정'!$C$30,"🟡 주의","🔴 과다"))))</f>
      </c>
      <c r="N40" s="62">
        <f>IF($D40&gt;0,$G40+ROW()/1000000,"")</f>
      </c>
    </row>
    <row r="41" spans="1:14" x14ac:dyDescent="0.25">
      <c r="A41" s="63">
        <v>36</v>
      </c>
      <c r="B41" s="64" t="s">
        <v>79</v>
      </c>
      <c r="C41" s="36" t="s">
        <v>138</v>
      </c>
      <c r="D41" s="55">
        <v>30000</v>
      </c>
      <c r="E41" s="56">
        <f>ROUND($D41/'③ 고정비 설정'!$C$25,0)</f>
      </c>
      <c r="F41" s="57">
        <f>ROUND(SUMIF('⑤ 레시피 상세'!$B$6:$B$593,$C41,'⑤ 레시피 상세'!$K$6:$K$593),1)</f>
      </c>
      <c r="G41" s="58">
        <f>IF($E41&gt;0,$F41/$E41,"")</f>
      </c>
      <c r="H41" s="57">
        <f>ROUND($E41*'③ 고정비 설정'!$C$28,0)</f>
      </c>
      <c r="I41" s="57">
        <f>ROUND($F41+$H41,0)</f>
      </c>
      <c r="J41" s="59">
        <f>IF($E41&gt;0,$I41/$E41,"")</f>
      </c>
      <c r="K41" s="57">
        <f>IF($E41&gt;0,$E41-$I41,"")</f>
      </c>
      <c r="L41" s="60">
        <f>IF($E41&gt;0,$K41/$E41,"")</f>
      </c>
      <c r="M41" s="61">
        <f>IF($D41&lt;=0,"⬜ 판매가 입력",IF($F41&lt;=0,"⬜ 재료 확인",IF($G41&lt;='③ 고정비 설정'!$C$29,"✅ 양호",IF($G41&lt;='③ 고정비 설정'!$C$30,"🟡 주의","🔴 과다"))))</f>
      </c>
      <c r="N41" s="62">
        <f>IF($D41&gt;0,$G41+ROW()/1000000,"")</f>
      </c>
    </row>
    <row r="42" spans="1:14" x14ac:dyDescent="0.25">
      <c r="A42" s="53">
        <v>37</v>
      </c>
      <c r="B42" s="54" t="s">
        <v>79</v>
      </c>
      <c r="C42" s="31" t="s">
        <v>139</v>
      </c>
      <c r="D42" s="55">
        <v>12000</v>
      </c>
      <c r="E42" s="56">
        <f>ROUND($D42/'③ 고정비 설정'!$C$25,0)</f>
      </c>
      <c r="F42" s="57">
        <f>ROUND(SUMIF('⑤ 레시피 상세'!$B$6:$B$593,$C42,'⑤ 레시피 상세'!$K$6:$K$593),1)</f>
      </c>
      <c r="G42" s="58">
        <f>IF($E42&gt;0,$F42/$E42,"")</f>
      </c>
      <c r="H42" s="57">
        <f>ROUND($E42*'③ 고정비 설정'!$C$28,0)</f>
      </c>
      <c r="I42" s="57">
        <f>ROUND($F42+$H42,0)</f>
      </c>
      <c r="J42" s="59">
        <f>IF($E42&gt;0,$I42/$E42,"")</f>
      </c>
      <c r="K42" s="57">
        <f>IF($E42&gt;0,$E42-$I42,"")</f>
      </c>
      <c r="L42" s="60">
        <f>IF($E42&gt;0,$K42/$E42,"")</f>
      </c>
      <c r="M42" s="61">
        <f>IF($D42&lt;=0,"⬜ 판매가 입력",IF($F42&lt;=0,"⬜ 재료 확인",IF($G42&lt;='③ 고정비 설정'!$C$29,"✅ 양호",IF($G42&lt;='③ 고정비 설정'!$C$30,"🟡 주의","🔴 과다"))))</f>
      </c>
      <c r="N42" s="62">
        <f>IF($D42&gt;0,$G42+ROW()/1000000,"")</f>
      </c>
    </row>
    <row r="43" spans="1:14" x14ac:dyDescent="0.25">
      <c r="A43" s="63">
        <v>38</v>
      </c>
      <c r="B43" s="64" t="s">
        <v>79</v>
      </c>
      <c r="C43" s="36" t="s">
        <v>140</v>
      </c>
      <c r="D43" s="55">
        <v>18000</v>
      </c>
      <c r="E43" s="56">
        <f>ROUND($D43/'③ 고정비 설정'!$C$25,0)</f>
      </c>
      <c r="F43" s="57">
        <f>ROUND(SUMIF('⑤ 레시피 상세'!$B$6:$B$593,$C43,'⑤ 레시피 상세'!$K$6:$K$593),1)</f>
      </c>
      <c r="G43" s="58">
        <f>IF($E43&gt;0,$F43/$E43,"")</f>
      </c>
      <c r="H43" s="57">
        <f>ROUND($E43*'③ 고정비 설정'!$C$28,0)</f>
      </c>
      <c r="I43" s="57">
        <f>ROUND($F43+$H43,0)</f>
      </c>
      <c r="J43" s="59">
        <f>IF($E43&gt;0,$I43/$E43,"")</f>
      </c>
      <c r="K43" s="57">
        <f>IF($E43&gt;0,$E43-$I43,"")</f>
      </c>
      <c r="L43" s="60">
        <f>IF($E43&gt;0,$K43/$E43,"")</f>
      </c>
      <c r="M43" s="61">
        <f>IF($D43&lt;=0,"⬜ 판매가 입력",IF($F43&lt;=0,"⬜ 재료 확인",IF($G43&lt;='③ 고정비 설정'!$C$29,"✅ 양호",IF($G43&lt;='③ 고정비 설정'!$C$30,"🟡 주의","🔴 과다"))))</f>
      </c>
      <c r="N43" s="62">
        <f>IF($D43&gt;0,$G43+ROW()/1000000,"")</f>
      </c>
    </row>
    <row r="44" spans="1:14" x14ac:dyDescent="0.25">
      <c r="A44" s="53">
        <v>39</v>
      </c>
      <c r="B44" s="54" t="s">
        <v>79</v>
      </c>
      <c r="C44" s="31" t="s">
        <v>141</v>
      </c>
      <c r="D44" s="55">
        <v>12000</v>
      </c>
      <c r="E44" s="56">
        <f>ROUND($D44/'③ 고정비 설정'!$C$25,0)</f>
      </c>
      <c r="F44" s="57">
        <f>ROUND(SUMIF('⑤ 레시피 상세'!$B$6:$B$593,$C44,'⑤ 레시피 상세'!$K$6:$K$593),1)</f>
      </c>
      <c r="G44" s="58">
        <f>IF($E44&gt;0,$F44/$E44,"")</f>
      </c>
      <c r="H44" s="57">
        <f>ROUND($E44*'③ 고정비 설정'!$C$28,0)</f>
      </c>
      <c r="I44" s="57">
        <f>ROUND($F44+$H44,0)</f>
      </c>
      <c r="J44" s="59">
        <f>IF($E44&gt;0,$I44/$E44,"")</f>
      </c>
      <c r="K44" s="57">
        <f>IF($E44&gt;0,$E44-$I44,"")</f>
      </c>
      <c r="L44" s="60">
        <f>IF($E44&gt;0,$K44/$E44,"")</f>
      </c>
      <c r="M44" s="61">
        <f>IF($D44&lt;=0,"⬜ 판매가 입력",IF($F44&lt;=0,"⬜ 재료 확인",IF($G44&lt;='③ 고정비 설정'!$C$29,"✅ 양호",IF($G44&lt;='③ 고정비 설정'!$C$30,"🟡 주의","🔴 과다"))))</f>
      </c>
      <c r="N44" s="62">
        <f>IF($D44&gt;0,$G44+ROW()/1000000,"")</f>
      </c>
    </row>
    <row r="45" spans="1:14" x14ac:dyDescent="0.25">
      <c r="A45" s="63">
        <v>40</v>
      </c>
      <c r="B45" s="64" t="s">
        <v>79</v>
      </c>
      <c r="C45" s="36" t="s">
        <v>142</v>
      </c>
      <c r="D45" s="55">
        <v>11000</v>
      </c>
      <c r="E45" s="56">
        <f>ROUND($D45/'③ 고정비 설정'!$C$25,0)</f>
      </c>
      <c r="F45" s="57">
        <f>ROUND(SUMIF('⑤ 레시피 상세'!$B$6:$B$593,$C45,'⑤ 레시피 상세'!$K$6:$K$593),1)</f>
      </c>
      <c r="G45" s="58">
        <f>IF($E45&gt;0,$F45/$E45,"")</f>
      </c>
      <c r="H45" s="57">
        <f>ROUND($E45*'③ 고정비 설정'!$C$28,0)</f>
      </c>
      <c r="I45" s="57">
        <f>ROUND($F45+$H45,0)</f>
      </c>
      <c r="J45" s="59">
        <f>IF($E45&gt;0,$I45/$E45,"")</f>
      </c>
      <c r="K45" s="57">
        <f>IF($E45&gt;0,$E45-$I45,"")</f>
      </c>
      <c r="L45" s="60">
        <f>IF($E45&gt;0,$K45/$E45,"")</f>
      </c>
      <c r="M45" s="61">
        <f>IF($D45&lt;=0,"⬜ 판매가 입력",IF($F45&lt;=0,"⬜ 재료 확인",IF($G45&lt;='③ 고정비 설정'!$C$29,"✅ 양호",IF($G45&lt;='③ 고정비 설정'!$C$30,"🟡 주의","🔴 과다"))))</f>
      </c>
      <c r="N45" s="62">
        <f>IF($D45&gt;0,$G45+ROW()/1000000,"")</f>
      </c>
    </row>
    <row r="46" spans="1:14" x14ac:dyDescent="0.25">
      <c r="A46" s="53">
        <v>41</v>
      </c>
      <c r="B46" s="54" t="s">
        <v>79</v>
      </c>
      <c r="C46" s="31" t="s">
        <v>143</v>
      </c>
      <c r="D46" s="55">
        <v>10000</v>
      </c>
      <c r="E46" s="56">
        <f>ROUND($D46/'③ 고정비 설정'!$C$25,0)</f>
      </c>
      <c r="F46" s="57">
        <f>ROUND(SUMIF('⑤ 레시피 상세'!$B$6:$B$593,$C46,'⑤ 레시피 상세'!$K$6:$K$593),1)</f>
      </c>
      <c r="G46" s="58">
        <f>IF($E46&gt;0,$F46/$E46,"")</f>
      </c>
      <c r="H46" s="57">
        <f>ROUND($E46*'③ 고정비 설정'!$C$28,0)</f>
      </c>
      <c r="I46" s="57">
        <f>ROUND($F46+$H46,0)</f>
      </c>
      <c r="J46" s="59">
        <f>IF($E46&gt;0,$I46/$E46,"")</f>
      </c>
      <c r="K46" s="57">
        <f>IF($E46&gt;0,$E46-$I46,"")</f>
      </c>
      <c r="L46" s="60">
        <f>IF($E46&gt;0,$K46/$E46,"")</f>
      </c>
      <c r="M46" s="61">
        <f>IF($D46&lt;=0,"⬜ 판매가 입력",IF($F46&lt;=0,"⬜ 재료 확인",IF($G46&lt;='③ 고정비 설정'!$C$29,"✅ 양호",IF($G46&lt;='③ 고정비 설정'!$C$30,"🟡 주의","🔴 과다"))))</f>
      </c>
      <c r="N46" s="62">
        <f>IF($D46&gt;0,$G46+ROW()/1000000,"")</f>
      </c>
    </row>
    <row r="47" spans="1:14" x14ac:dyDescent="0.25">
      <c r="A47" s="63">
        <v>42</v>
      </c>
      <c r="B47" s="64" t="s">
        <v>79</v>
      </c>
      <c r="C47" s="36" t="s">
        <v>144</v>
      </c>
      <c r="D47" s="55">
        <v>19000</v>
      </c>
      <c r="E47" s="56">
        <f>ROUND($D47/'③ 고정비 설정'!$C$25,0)</f>
      </c>
      <c r="F47" s="57">
        <f>ROUND(SUMIF('⑤ 레시피 상세'!$B$6:$B$593,$C47,'⑤ 레시피 상세'!$K$6:$K$593),1)</f>
      </c>
      <c r="G47" s="58">
        <f>IF($E47&gt;0,$F47/$E47,"")</f>
      </c>
      <c r="H47" s="57">
        <f>ROUND($E47*'③ 고정비 설정'!$C$28,0)</f>
      </c>
      <c r="I47" s="57">
        <f>ROUND($F47+$H47,0)</f>
      </c>
      <c r="J47" s="59">
        <f>IF($E47&gt;0,$I47/$E47,"")</f>
      </c>
      <c r="K47" s="57">
        <f>IF($E47&gt;0,$E47-$I47,"")</f>
      </c>
      <c r="L47" s="60">
        <f>IF($E47&gt;0,$K47/$E47,"")</f>
      </c>
      <c r="M47" s="61">
        <f>IF($D47&lt;=0,"⬜ 판매가 입력",IF($F47&lt;=0,"⬜ 재료 확인",IF($G47&lt;='③ 고정비 설정'!$C$29,"✅ 양호",IF($G47&lt;='③ 고정비 설정'!$C$30,"🟡 주의","🔴 과다"))))</f>
      </c>
      <c r="N47" s="62">
        <f>IF($D47&gt;0,$G47+ROW()/1000000,"")</f>
      </c>
    </row>
    <row r="48" spans="1:14" x14ac:dyDescent="0.25">
      <c r="A48" s="53">
        <v>43</v>
      </c>
      <c r="B48" s="54" t="s">
        <v>80</v>
      </c>
      <c r="C48" s="31" t="s">
        <v>145</v>
      </c>
      <c r="D48" s="55">
        <v>2000</v>
      </c>
      <c r="E48" s="56">
        <f>ROUND($D48/'③ 고정비 설정'!$C$25,0)</f>
      </c>
      <c r="F48" s="57">
        <f>ROUND(SUMIF('⑤ 레시피 상세'!$B$6:$B$593,$C48,'⑤ 레시피 상세'!$K$6:$K$593),1)</f>
      </c>
      <c r="G48" s="58">
        <f>IF($E48&gt;0,$F48/$E48,"")</f>
      </c>
      <c r="H48" s="57">
        <f>ROUND($E48*'③ 고정비 설정'!$C$28,0)</f>
      </c>
      <c r="I48" s="57">
        <f>ROUND($F48+$H48,0)</f>
      </c>
      <c r="J48" s="59">
        <f>IF($E48&gt;0,$I48/$E48,"")</f>
      </c>
      <c r="K48" s="57">
        <f>IF($E48&gt;0,$E48-$I48,"")</f>
      </c>
      <c r="L48" s="60">
        <f>IF($E48&gt;0,$K48/$E48,"")</f>
      </c>
      <c r="M48" s="61">
        <f>IF($D48&lt;=0,"⬜ 판매가 입력",IF($F48&lt;=0,"⬜ 재료 확인",IF($G48&lt;='③ 고정비 설정'!$C$29,"✅ 양호",IF($G48&lt;='③ 고정비 설정'!$C$30,"🟡 주의","🔴 과다"))))</f>
      </c>
      <c r="N48" s="62">
        <f>IF($D48&gt;0,$G48+ROW()/1000000,"")</f>
      </c>
    </row>
    <row r="49" spans="1:14" x14ac:dyDescent="0.25">
      <c r="A49" s="63">
        <v>44</v>
      </c>
      <c r="B49" s="64" t="s">
        <v>80</v>
      </c>
      <c r="C49" s="36" t="s">
        <v>146</v>
      </c>
      <c r="D49" s="55">
        <v>5000</v>
      </c>
      <c r="E49" s="56">
        <f>ROUND($D49/'③ 고정비 설정'!$C$25,0)</f>
      </c>
      <c r="F49" s="57">
        <f>ROUND(SUMIF('⑤ 레시피 상세'!$B$6:$B$593,$C49,'⑤ 레시피 상세'!$K$6:$K$593),1)</f>
      </c>
      <c r="G49" s="58">
        <f>IF($E49&gt;0,$F49/$E49,"")</f>
      </c>
      <c r="H49" s="57">
        <f>ROUND($E49*'③ 고정비 설정'!$C$28,0)</f>
      </c>
      <c r="I49" s="57">
        <f>ROUND($F49+$H49,0)</f>
      </c>
      <c r="J49" s="59">
        <f>IF($E49&gt;0,$I49/$E49,"")</f>
      </c>
      <c r="K49" s="57">
        <f>IF($E49&gt;0,$E49-$I49,"")</f>
      </c>
      <c r="L49" s="60">
        <f>IF($E49&gt;0,$K49/$E49,"")</f>
      </c>
      <c r="M49" s="61">
        <f>IF($D49&lt;=0,"⬜ 판매가 입력",IF($F49&lt;=0,"⬜ 재료 확인",IF($G49&lt;='③ 고정비 설정'!$C$29,"✅ 양호",IF($G49&lt;='③ 고정비 설정'!$C$30,"🟡 주의","🔴 과다"))))</f>
      </c>
      <c r="N49" s="62">
        <f>IF($D49&gt;0,$G49+ROW()/1000000,"")</f>
      </c>
    </row>
    <row r="50" spans="1:14" x14ac:dyDescent="0.25">
      <c r="A50" s="53">
        <v>45</v>
      </c>
      <c r="B50" s="54" t="s">
        <v>80</v>
      </c>
      <c r="C50" s="31" t="s">
        <v>147</v>
      </c>
      <c r="D50" s="55">
        <v>10000</v>
      </c>
      <c r="E50" s="56">
        <f>ROUND($D50/'③ 고정비 설정'!$C$25,0)</f>
      </c>
      <c r="F50" s="57">
        <f>ROUND(SUMIF('⑤ 레시피 상세'!$B$6:$B$593,$C50,'⑤ 레시피 상세'!$K$6:$K$593),1)</f>
      </c>
      <c r="G50" s="58">
        <f>IF($E50&gt;0,$F50/$E50,"")</f>
      </c>
      <c r="H50" s="57">
        <f>ROUND($E50*'③ 고정비 설정'!$C$28,0)</f>
      </c>
      <c r="I50" s="57">
        <f>ROUND($F50+$H50,0)</f>
      </c>
      <c r="J50" s="59">
        <f>IF($E50&gt;0,$I50/$E50,"")</f>
      </c>
      <c r="K50" s="57">
        <f>IF($E50&gt;0,$E50-$I50,"")</f>
      </c>
      <c r="L50" s="60">
        <f>IF($E50&gt;0,$K50/$E50,"")</f>
      </c>
      <c r="M50" s="61">
        <f>IF($D50&lt;=0,"⬜ 판매가 입력",IF($F50&lt;=0,"⬜ 재료 확인",IF($G50&lt;='③ 고정비 설정'!$C$29,"✅ 양호",IF($G50&lt;='③ 고정비 설정'!$C$30,"🟡 주의","🔴 과다"))))</f>
      </c>
      <c r="N50" s="62">
        <f>IF($D50&gt;0,$G50+ROW()/1000000,"")</f>
      </c>
    </row>
    <row r="51" spans="1:14" x14ac:dyDescent="0.25">
      <c r="A51" s="63">
        <v>46</v>
      </c>
      <c r="B51" s="64" t="s">
        <v>80</v>
      </c>
      <c r="C51" s="36" t="s">
        <v>148</v>
      </c>
      <c r="D51" s="55">
        <v>6000</v>
      </c>
      <c r="E51" s="56">
        <f>ROUND($D51/'③ 고정비 설정'!$C$25,0)</f>
      </c>
      <c r="F51" s="57">
        <f>ROUND(SUMIF('⑤ 레시피 상세'!$B$6:$B$593,$C51,'⑤ 레시피 상세'!$K$6:$K$593),1)</f>
      </c>
      <c r="G51" s="58">
        <f>IF($E51&gt;0,$F51/$E51,"")</f>
      </c>
      <c r="H51" s="57">
        <f>ROUND($E51*'③ 고정비 설정'!$C$28,0)</f>
      </c>
      <c r="I51" s="57">
        <f>ROUND($F51+$H51,0)</f>
      </c>
      <c r="J51" s="59">
        <f>IF($E51&gt;0,$I51/$E51,"")</f>
      </c>
      <c r="K51" s="57">
        <f>IF($E51&gt;0,$E51-$I51,"")</f>
      </c>
      <c r="L51" s="60">
        <f>IF($E51&gt;0,$K51/$E51,"")</f>
      </c>
      <c r="M51" s="61">
        <f>IF($D51&lt;=0,"⬜ 판매가 입력",IF($F51&lt;=0,"⬜ 재료 확인",IF($G51&lt;='③ 고정비 설정'!$C$29,"✅ 양호",IF($G51&lt;='③ 고정비 설정'!$C$30,"🟡 주의","🔴 과다"))))</f>
      </c>
      <c r="N51" s="62">
        <f>IF($D51&gt;0,$G51+ROW()/1000000,"")</f>
      </c>
    </row>
    <row r="52" spans="1:14" x14ac:dyDescent="0.25">
      <c r="A52" s="53">
        <v>47</v>
      </c>
      <c r="B52" s="54" t="s">
        <v>80</v>
      </c>
      <c r="C52" s="31" t="s">
        <v>149</v>
      </c>
      <c r="D52" s="55">
        <v>12000</v>
      </c>
      <c r="E52" s="56">
        <f>ROUND($D52/'③ 고정비 설정'!$C$25,0)</f>
      </c>
      <c r="F52" s="57">
        <f>ROUND(SUMIF('⑤ 레시피 상세'!$B$6:$B$593,$C52,'⑤ 레시피 상세'!$K$6:$K$593),1)</f>
      </c>
      <c r="G52" s="58">
        <f>IF($E52&gt;0,$F52/$E52,"")</f>
      </c>
      <c r="H52" s="57">
        <f>ROUND($E52*'③ 고정비 설정'!$C$28,0)</f>
      </c>
      <c r="I52" s="57">
        <f>ROUND($F52+$H52,0)</f>
      </c>
      <c r="J52" s="59">
        <f>IF($E52&gt;0,$I52/$E52,"")</f>
      </c>
      <c r="K52" s="57">
        <f>IF($E52&gt;0,$E52-$I52,"")</f>
      </c>
      <c r="L52" s="60">
        <f>IF($E52&gt;0,$K52/$E52,"")</f>
      </c>
      <c r="M52" s="61">
        <f>IF($D52&lt;=0,"⬜ 판매가 입력",IF($F52&lt;=0,"⬜ 재료 확인",IF($G52&lt;='③ 고정비 설정'!$C$29,"✅ 양호",IF($G52&lt;='③ 고정비 설정'!$C$30,"🟡 주의","🔴 과다"))))</f>
      </c>
      <c r="N52" s="62">
        <f>IF($D52&gt;0,$G52+ROW()/1000000,"")</f>
      </c>
    </row>
    <row r="53" spans="1:14" x14ac:dyDescent="0.25">
      <c r="A53" s="63">
        <v>48</v>
      </c>
      <c r="B53" s="64" t="s">
        <v>80</v>
      </c>
      <c r="C53" s="36" t="s">
        <v>150</v>
      </c>
      <c r="D53" s="55">
        <v>8000</v>
      </c>
      <c r="E53" s="56">
        <f>ROUND($D53/'③ 고정비 설정'!$C$25,0)</f>
      </c>
      <c r="F53" s="57">
        <f>ROUND(SUMIF('⑤ 레시피 상세'!$B$6:$B$593,$C53,'⑤ 레시피 상세'!$K$6:$K$593),1)</f>
      </c>
      <c r="G53" s="58">
        <f>IF($E53&gt;0,$F53/$E53,"")</f>
      </c>
      <c r="H53" s="57">
        <f>ROUND($E53*'③ 고정비 설정'!$C$28,0)</f>
      </c>
      <c r="I53" s="57">
        <f>ROUND($F53+$H53,0)</f>
      </c>
      <c r="J53" s="59">
        <f>IF($E53&gt;0,$I53/$E53,"")</f>
      </c>
      <c r="K53" s="57">
        <f>IF($E53&gt;0,$E53-$I53,"")</f>
      </c>
      <c r="L53" s="60">
        <f>IF($E53&gt;0,$K53/$E53,"")</f>
      </c>
      <c r="M53" s="61">
        <f>IF($D53&lt;=0,"⬜ 판매가 입력",IF($F53&lt;=0,"⬜ 재료 확인",IF($G53&lt;='③ 고정비 설정'!$C$29,"✅ 양호",IF($G53&lt;='③ 고정비 설정'!$C$30,"🟡 주의","🔴 과다"))))</f>
      </c>
      <c r="N53" s="62">
        <f>IF($D53&gt;0,$G53+ROW()/1000000,"")</f>
      </c>
    </row>
    <row r="54" spans="1:14" x14ac:dyDescent="0.25">
      <c r="A54" s="53">
        <v>49</v>
      </c>
      <c r="B54" s="54" t="s">
        <v>80</v>
      </c>
      <c r="C54" s="31" t="s">
        <v>151</v>
      </c>
      <c r="D54" s="55">
        <v>12000</v>
      </c>
      <c r="E54" s="56">
        <f>ROUND($D54/'③ 고정비 설정'!$C$25,0)</f>
      </c>
      <c r="F54" s="57">
        <f>ROUND(SUMIF('⑤ 레시피 상세'!$B$6:$B$593,$C54,'⑤ 레시피 상세'!$K$6:$K$593),1)</f>
      </c>
      <c r="G54" s="58">
        <f>IF($E54&gt;0,$F54/$E54,"")</f>
      </c>
      <c r="H54" s="57">
        <f>ROUND($E54*'③ 고정비 설정'!$C$28,0)</f>
      </c>
      <c r="I54" s="57">
        <f>ROUND($F54+$H54,0)</f>
      </c>
      <c r="J54" s="59">
        <f>IF($E54&gt;0,$I54/$E54,"")</f>
      </c>
      <c r="K54" s="57">
        <f>IF($E54&gt;0,$E54-$I54,"")</f>
      </c>
      <c r="L54" s="60">
        <f>IF($E54&gt;0,$K54/$E54,"")</f>
      </c>
      <c r="M54" s="61">
        <f>IF($D54&lt;=0,"⬜ 판매가 입력",IF($F54&lt;=0,"⬜ 재료 확인",IF($G54&lt;='③ 고정비 설정'!$C$29,"✅ 양호",IF($G54&lt;='③ 고정비 설정'!$C$30,"🟡 주의","🔴 과다"))))</f>
      </c>
      <c r="N54" s="62">
        <f>IF($D54&gt;0,$G54+ROW()/1000000,"")</f>
      </c>
    </row>
    <row r="55" spans="1:14" x14ac:dyDescent="0.25">
      <c r="A55" s="63">
        <v>50</v>
      </c>
      <c r="B55" s="64" t="s">
        <v>80</v>
      </c>
      <c r="C55" s="36" t="s">
        <v>152</v>
      </c>
      <c r="D55" s="55">
        <v>11000</v>
      </c>
      <c r="E55" s="56">
        <f>ROUND($D55/'③ 고정비 설정'!$C$25,0)</f>
      </c>
      <c r="F55" s="57">
        <f>ROUND(SUMIF('⑤ 레시피 상세'!$B$6:$B$593,$C55,'⑤ 레시피 상세'!$K$6:$K$593),1)</f>
      </c>
      <c r="G55" s="58">
        <f>IF($E55&gt;0,$F55/$E55,"")</f>
      </c>
      <c r="H55" s="57">
        <f>ROUND($E55*'③ 고정비 설정'!$C$28,0)</f>
      </c>
      <c r="I55" s="57">
        <f>ROUND($F55+$H55,0)</f>
      </c>
      <c r="J55" s="59">
        <f>IF($E55&gt;0,$I55/$E55,"")</f>
      </c>
      <c r="K55" s="57">
        <f>IF($E55&gt;0,$E55-$I55,"")</f>
      </c>
      <c r="L55" s="60">
        <f>IF($E55&gt;0,$K55/$E55,"")</f>
      </c>
      <c r="M55" s="61">
        <f>IF($D55&lt;=0,"⬜ 판매가 입력",IF($F55&lt;=0,"⬜ 재료 확인",IF($G55&lt;='③ 고정비 설정'!$C$29,"✅ 양호",IF($G55&lt;='③ 고정비 설정'!$C$30,"🟡 주의","🔴 과다"))))</f>
      </c>
      <c r="N55" s="62">
        <f>IF($D55&gt;0,$G55+ROW()/1000000,"")</f>
      </c>
    </row>
    <row r="56" spans="1:14" x14ac:dyDescent="0.25">
      <c r="A56" s="53">
        <v>51</v>
      </c>
      <c r="B56" s="54" t="s">
        <v>80</v>
      </c>
      <c r="C56" s="31" t="s">
        <v>153</v>
      </c>
      <c r="D56" s="55">
        <v>13000</v>
      </c>
      <c r="E56" s="56">
        <f>ROUND($D56/'③ 고정비 설정'!$C$25,0)</f>
      </c>
      <c r="F56" s="57">
        <f>ROUND(SUMIF('⑤ 레시피 상세'!$B$6:$B$593,$C56,'⑤ 레시피 상세'!$K$6:$K$593),1)</f>
      </c>
      <c r="G56" s="58">
        <f>IF($E56&gt;0,$F56/$E56,"")</f>
      </c>
      <c r="H56" s="57">
        <f>ROUND($E56*'③ 고정비 설정'!$C$28,0)</f>
      </c>
      <c r="I56" s="57">
        <f>ROUND($F56+$H56,0)</f>
      </c>
      <c r="J56" s="59">
        <f>IF($E56&gt;0,$I56/$E56,"")</f>
      </c>
      <c r="K56" s="57">
        <f>IF($E56&gt;0,$E56-$I56,"")</f>
      </c>
      <c r="L56" s="60">
        <f>IF($E56&gt;0,$K56/$E56,"")</f>
      </c>
      <c r="M56" s="61">
        <f>IF($D56&lt;=0,"⬜ 판매가 입력",IF($F56&lt;=0,"⬜ 재료 확인",IF($G56&lt;='③ 고정비 설정'!$C$29,"✅ 양호",IF($G56&lt;='③ 고정비 설정'!$C$30,"🟡 주의","🔴 과다"))))</f>
      </c>
      <c r="N56" s="62">
        <f>IF($D56&gt;0,$G56+ROW()/1000000,"")</f>
      </c>
    </row>
    <row r="57" spans="1:14" x14ac:dyDescent="0.25">
      <c r="A57" s="63">
        <v>52</v>
      </c>
      <c r="B57" s="64" t="s">
        <v>80</v>
      </c>
      <c r="C57" s="36" t="s">
        <v>154</v>
      </c>
      <c r="D57" s="55">
        <v>9000</v>
      </c>
      <c r="E57" s="56">
        <f>ROUND($D57/'③ 고정비 설정'!$C$25,0)</f>
      </c>
      <c r="F57" s="57">
        <f>ROUND(SUMIF('⑤ 레시피 상세'!$B$6:$B$593,$C57,'⑤ 레시피 상세'!$K$6:$K$593),1)</f>
      </c>
      <c r="G57" s="58">
        <f>IF($E57&gt;0,$F57/$E57,"")</f>
      </c>
      <c r="H57" s="57">
        <f>ROUND($E57*'③ 고정비 설정'!$C$28,0)</f>
      </c>
      <c r="I57" s="57">
        <f>ROUND($F57+$H57,0)</f>
      </c>
      <c r="J57" s="59">
        <f>IF($E57&gt;0,$I57/$E57,"")</f>
      </c>
      <c r="K57" s="57">
        <f>IF($E57&gt;0,$E57-$I57,"")</f>
      </c>
      <c r="L57" s="60">
        <f>IF($E57&gt;0,$K57/$E57,"")</f>
      </c>
      <c r="M57" s="61">
        <f>IF($D57&lt;=0,"⬜ 판매가 입력",IF($F57&lt;=0,"⬜ 재료 확인",IF($G57&lt;='③ 고정비 설정'!$C$29,"✅ 양호",IF($G57&lt;='③ 고정비 설정'!$C$30,"🟡 주의","🔴 과다"))))</f>
      </c>
      <c r="N57" s="62">
        <f>IF($D57&gt;0,$G57+ROW()/1000000,"")</f>
      </c>
    </row>
    <row r="58" spans="1:14" x14ac:dyDescent="0.25">
      <c r="A58" s="53">
        <v>53</v>
      </c>
      <c r="B58" s="54" t="s">
        <v>80</v>
      </c>
      <c r="C58" s="31" t="s">
        <v>155</v>
      </c>
      <c r="D58" s="55">
        <v>5000</v>
      </c>
      <c r="E58" s="56">
        <f>ROUND($D58/'③ 고정비 설정'!$C$25,0)</f>
      </c>
      <c r="F58" s="57">
        <f>ROUND(SUMIF('⑤ 레시피 상세'!$B$6:$B$593,$C58,'⑤ 레시피 상세'!$K$6:$K$593),1)</f>
      </c>
      <c r="G58" s="58">
        <f>IF($E58&gt;0,$F58/$E58,"")</f>
      </c>
      <c r="H58" s="57">
        <f>ROUND($E58*'③ 고정비 설정'!$C$28,0)</f>
      </c>
      <c r="I58" s="57">
        <f>ROUND($F58+$H58,0)</f>
      </c>
      <c r="J58" s="59">
        <f>IF($E58&gt;0,$I58/$E58,"")</f>
      </c>
      <c r="K58" s="57">
        <f>IF($E58&gt;0,$E58-$I58,"")</f>
      </c>
      <c r="L58" s="60">
        <f>IF($E58&gt;0,$K58/$E58,"")</f>
      </c>
      <c r="M58" s="61">
        <f>IF($D58&lt;=0,"⬜ 판매가 입력",IF($F58&lt;=0,"⬜ 재료 확인",IF($G58&lt;='③ 고정비 설정'!$C$29,"✅ 양호",IF($G58&lt;='③ 고정비 설정'!$C$30,"🟡 주의","🔴 과다"))))</f>
      </c>
      <c r="N58" s="62">
        <f>IF($D58&gt;0,$G58+ROW()/1000000,"")</f>
      </c>
    </row>
    <row r="59" spans="1:14" x14ac:dyDescent="0.25">
      <c r="A59" s="63">
        <v>54</v>
      </c>
      <c r="B59" s="64" t="s">
        <v>81</v>
      </c>
      <c r="C59" s="36" t="s">
        <v>156</v>
      </c>
      <c r="D59" s="55">
        <v>9000</v>
      </c>
      <c r="E59" s="56">
        <f>ROUND($D59/'③ 고정비 설정'!$C$25,0)</f>
      </c>
      <c r="F59" s="57">
        <f>ROUND(SUMIF('⑤ 레시피 상세'!$B$6:$B$593,$C59,'⑤ 레시피 상세'!$K$6:$K$593),1)</f>
      </c>
      <c r="G59" s="58">
        <f>IF($E59&gt;0,$F59/$E59,"")</f>
      </c>
      <c r="H59" s="57">
        <f>ROUND($E59*'③ 고정비 설정'!$C$28,0)</f>
      </c>
      <c r="I59" s="57">
        <f>ROUND($F59+$H59,0)</f>
      </c>
      <c r="J59" s="59">
        <f>IF($E59&gt;0,$I59/$E59,"")</f>
      </c>
      <c r="K59" s="57">
        <f>IF($E59&gt;0,$E59-$I59,"")</f>
      </c>
      <c r="L59" s="60">
        <f>IF($E59&gt;0,$K59/$E59,"")</f>
      </c>
      <c r="M59" s="61">
        <f>IF($D59&lt;=0,"⬜ 판매가 입력",IF($F59&lt;=0,"⬜ 재료 확인",IF($G59&lt;='③ 고정비 설정'!$C$29,"✅ 양호",IF($G59&lt;='③ 고정비 설정'!$C$30,"🟡 주의","🔴 과다"))))</f>
      </c>
      <c r="N59" s="62">
        <f>IF($D59&gt;0,$G59+ROW()/1000000,"")</f>
      </c>
    </row>
    <row r="60" spans="1:14" x14ac:dyDescent="0.25">
      <c r="A60" s="53">
        <v>55</v>
      </c>
      <c r="B60" s="54" t="s">
        <v>81</v>
      </c>
      <c r="C60" s="31" t="s">
        <v>157</v>
      </c>
      <c r="D60" s="55">
        <v>10000</v>
      </c>
      <c r="E60" s="56">
        <f>ROUND($D60/'③ 고정비 설정'!$C$25,0)</f>
      </c>
      <c r="F60" s="57">
        <f>ROUND(SUMIF('⑤ 레시피 상세'!$B$6:$B$593,$C60,'⑤ 레시피 상세'!$K$6:$K$593),1)</f>
      </c>
      <c r="G60" s="58">
        <f>IF($E60&gt;0,$F60/$E60,"")</f>
      </c>
      <c r="H60" s="57">
        <f>ROUND($E60*'③ 고정비 설정'!$C$28,0)</f>
      </c>
      <c r="I60" s="57">
        <f>ROUND($F60+$H60,0)</f>
      </c>
      <c r="J60" s="59">
        <f>IF($E60&gt;0,$I60/$E60,"")</f>
      </c>
      <c r="K60" s="57">
        <f>IF($E60&gt;0,$E60-$I60,"")</f>
      </c>
      <c r="L60" s="60">
        <f>IF($E60&gt;0,$K60/$E60,"")</f>
      </c>
      <c r="M60" s="61">
        <f>IF($D60&lt;=0,"⬜ 판매가 입력",IF($F60&lt;=0,"⬜ 재료 확인",IF($G60&lt;='③ 고정비 설정'!$C$29,"✅ 양호",IF($G60&lt;='③ 고정비 설정'!$C$30,"🟡 주의","🔴 과다"))))</f>
      </c>
      <c r="N60" s="62">
        <f>IF($D60&gt;0,$G60+ROW()/1000000,"")</f>
      </c>
    </row>
    <row r="61" spans="1:14" x14ac:dyDescent="0.25">
      <c r="A61" s="63">
        <v>56</v>
      </c>
      <c r="B61" s="64" t="s">
        <v>81</v>
      </c>
      <c r="C61" s="36" t="s">
        <v>158</v>
      </c>
      <c r="D61" s="55">
        <v>10000</v>
      </c>
      <c r="E61" s="56">
        <f>ROUND($D61/'③ 고정비 설정'!$C$25,0)</f>
      </c>
      <c r="F61" s="57">
        <f>ROUND(SUMIF('⑤ 레시피 상세'!$B$6:$B$593,$C61,'⑤ 레시피 상세'!$K$6:$K$593),1)</f>
      </c>
      <c r="G61" s="58">
        <f>IF($E61&gt;0,$F61/$E61,"")</f>
      </c>
      <c r="H61" s="57">
        <f>ROUND($E61*'③ 고정비 설정'!$C$28,0)</f>
      </c>
      <c r="I61" s="57">
        <f>ROUND($F61+$H61,0)</f>
      </c>
      <c r="J61" s="59">
        <f>IF($E61&gt;0,$I61/$E61,"")</f>
      </c>
      <c r="K61" s="57">
        <f>IF($E61&gt;0,$E61-$I61,"")</f>
      </c>
      <c r="L61" s="60">
        <f>IF($E61&gt;0,$K61/$E61,"")</f>
      </c>
      <c r="M61" s="61">
        <f>IF($D61&lt;=0,"⬜ 판매가 입력",IF($F61&lt;=0,"⬜ 재료 확인",IF($G61&lt;='③ 고정비 설정'!$C$29,"✅ 양호",IF($G61&lt;='③ 고정비 설정'!$C$30,"🟡 주의","🔴 과다"))))</f>
      </c>
      <c r="N61" s="62">
        <f>IF($D61&gt;0,$G61+ROW()/1000000,"")</f>
      </c>
    </row>
    <row r="62" spans="1:14" x14ac:dyDescent="0.25">
      <c r="A62" s="53">
        <v>57</v>
      </c>
      <c r="B62" s="54" t="s">
        <v>82</v>
      </c>
      <c r="C62" s="31" t="s">
        <v>159</v>
      </c>
      <c r="D62" s="55">
        <v>5000</v>
      </c>
      <c r="E62" s="56">
        <f>ROUND($D62/'③ 고정비 설정'!$C$25,0)</f>
      </c>
      <c r="F62" s="57">
        <f>ROUND(SUMIF('⑤ 레시피 상세'!$B$6:$B$593,$C62,'⑤ 레시피 상세'!$K$6:$K$593),1)</f>
      </c>
      <c r="G62" s="58">
        <f>IF($E62&gt;0,$F62/$E62,"")</f>
      </c>
      <c r="H62" s="57">
        <f>ROUND($E62*'③ 고정비 설정'!$C$28,0)</f>
      </c>
      <c r="I62" s="57">
        <f>ROUND($F62+$H62,0)</f>
      </c>
      <c r="J62" s="59">
        <f>IF($E62&gt;0,$I62/$E62,"")</f>
      </c>
      <c r="K62" s="57">
        <f>IF($E62&gt;0,$E62-$I62,"")</f>
      </c>
      <c r="L62" s="60">
        <f>IF($E62&gt;0,$K62/$E62,"")</f>
      </c>
      <c r="M62" s="61">
        <f>IF($D62&lt;=0,"⬜ 판매가 입력",IF($F62&lt;=0,"⬜ 재료 확인",IF($G62&lt;='③ 고정비 설정'!$C$29,"✅ 양호",IF($G62&lt;='③ 고정비 설정'!$C$30,"🟡 주의","🔴 과다"))))</f>
      </c>
      <c r="N62" s="62">
        <f>IF($D62&gt;0,$G62+ROW()/1000000,"")</f>
      </c>
    </row>
    <row r="63" spans="1:14" x14ac:dyDescent="0.25">
      <c r="A63" s="63">
        <v>58</v>
      </c>
      <c r="B63" s="64" t="s">
        <v>82</v>
      </c>
      <c r="C63" s="36" t="s">
        <v>160</v>
      </c>
      <c r="D63" s="55">
        <v>5000</v>
      </c>
      <c r="E63" s="56">
        <f>ROUND($D63/'③ 고정비 설정'!$C$25,0)</f>
      </c>
      <c r="F63" s="57">
        <f>ROUND(SUMIF('⑤ 레시피 상세'!$B$6:$B$593,$C63,'⑤ 레시피 상세'!$K$6:$K$593),1)</f>
      </c>
      <c r="G63" s="58">
        <f>IF($E63&gt;0,$F63/$E63,"")</f>
      </c>
      <c r="H63" s="57">
        <f>ROUND($E63*'③ 고정비 설정'!$C$28,0)</f>
      </c>
      <c r="I63" s="57">
        <f>ROUND($F63+$H63,0)</f>
      </c>
      <c r="J63" s="59">
        <f>IF($E63&gt;0,$I63/$E63,"")</f>
      </c>
      <c r="K63" s="57">
        <f>IF($E63&gt;0,$E63-$I63,"")</f>
      </c>
      <c r="L63" s="60">
        <f>IF($E63&gt;0,$K63/$E63,"")</f>
      </c>
      <c r="M63" s="61">
        <f>IF($D63&lt;=0,"⬜ 판매가 입력",IF($F63&lt;=0,"⬜ 재료 확인",IF($G63&lt;='③ 고정비 설정'!$C$29,"✅ 양호",IF($G63&lt;='③ 고정비 설정'!$C$30,"🟡 주의","🔴 과다"))))</f>
      </c>
      <c r="N63" s="62">
        <f>IF($D63&gt;0,$G63+ROW()/1000000,"")</f>
      </c>
    </row>
    <row r="64" spans="1:14" x14ac:dyDescent="0.25">
      <c r="A64" s="53">
        <v>59</v>
      </c>
      <c r="B64" s="54" t="s">
        <v>82</v>
      </c>
      <c r="C64" s="31" t="s">
        <v>161</v>
      </c>
      <c r="D64" s="55">
        <v>5000</v>
      </c>
      <c r="E64" s="56">
        <f>ROUND($D64/'③ 고정비 설정'!$C$25,0)</f>
      </c>
      <c r="F64" s="57">
        <f>ROUND(SUMIF('⑤ 레시피 상세'!$B$6:$B$593,$C64,'⑤ 레시피 상세'!$K$6:$K$593),1)</f>
      </c>
      <c r="G64" s="58">
        <f>IF($E64&gt;0,$F64/$E64,"")</f>
      </c>
      <c r="H64" s="57">
        <f>ROUND($E64*'③ 고정비 설정'!$C$28,0)</f>
      </c>
      <c r="I64" s="57">
        <f>ROUND($F64+$H64,0)</f>
      </c>
      <c r="J64" s="59">
        <f>IF($E64&gt;0,$I64/$E64,"")</f>
      </c>
      <c r="K64" s="57">
        <f>IF($E64&gt;0,$E64-$I64,"")</f>
      </c>
      <c r="L64" s="60">
        <f>IF($E64&gt;0,$K64/$E64,"")</f>
      </c>
      <c r="M64" s="61">
        <f>IF($D64&lt;=0,"⬜ 판매가 입력",IF($F64&lt;=0,"⬜ 재료 확인",IF($G64&lt;='③ 고정비 설정'!$C$29,"✅ 양호",IF($G64&lt;='③ 고정비 설정'!$C$30,"🟡 주의","🔴 과다"))))</f>
      </c>
      <c r="N64" s="62">
        <f>IF($D64&gt;0,$G64+ROW()/1000000,"")</f>
      </c>
    </row>
    <row r="65" spans="1:14" x14ac:dyDescent="0.25">
      <c r="A65" s="63">
        <v>60</v>
      </c>
      <c r="B65" s="64" t="s">
        <v>83</v>
      </c>
      <c r="C65" s="36" t="s">
        <v>162</v>
      </c>
      <c r="D65" s="55">
        <v>3500</v>
      </c>
      <c r="E65" s="56">
        <f>ROUND($D65/'③ 고정비 설정'!$C$25,0)</f>
      </c>
      <c r="F65" s="57">
        <f>ROUND(SUMIF('⑤ 레시피 상세'!$B$6:$B$593,$C65,'⑤ 레시피 상세'!$K$6:$K$593),1)</f>
      </c>
      <c r="G65" s="58">
        <f>IF($E65&gt;0,$F65/$E65,"")</f>
      </c>
      <c r="H65" s="57">
        <f>ROUND($E65*'③ 고정비 설정'!$C$28,0)</f>
      </c>
      <c r="I65" s="57">
        <f>ROUND($F65+$H65,0)</f>
      </c>
      <c r="J65" s="59">
        <f>IF($E65&gt;0,$I65/$E65,"")</f>
      </c>
      <c r="K65" s="57">
        <f>IF($E65&gt;0,$E65-$I65,"")</f>
      </c>
      <c r="L65" s="60">
        <f>IF($E65&gt;0,$K65/$E65,"")</f>
      </c>
      <c r="M65" s="61">
        <f>IF($D65&lt;=0,"⬜ 판매가 입력",IF($F65&lt;=0,"⬜ 재료 확인",IF($G65&lt;='③ 고정비 설정'!$C$29,"✅ 양호",IF($G65&lt;='③ 고정비 설정'!$C$30,"🟡 주의","🔴 과다"))))</f>
      </c>
      <c r="N65" s="62">
        <f>IF($D65&gt;0,$G65+ROW()/1000000,"")</f>
      </c>
    </row>
    <row r="66" spans="1:14" x14ac:dyDescent="0.25">
      <c r="A66" s="53">
        <v>61</v>
      </c>
      <c r="B66" s="54" t="s">
        <v>83</v>
      </c>
      <c r="C66" s="31" t="s">
        <v>163</v>
      </c>
      <c r="D66" s="55">
        <v>5500</v>
      </c>
      <c r="E66" s="56">
        <f>ROUND($D66/'③ 고정비 설정'!$C$25,0)</f>
      </c>
      <c r="F66" s="57">
        <f>ROUND(SUMIF('⑤ 레시피 상세'!$B$6:$B$593,$C66,'⑤ 레시피 상세'!$K$6:$K$593),1)</f>
      </c>
      <c r="G66" s="58">
        <f>IF($E66&gt;0,$F66/$E66,"")</f>
      </c>
      <c r="H66" s="57">
        <f>ROUND($E66*'③ 고정비 설정'!$C$28,0)</f>
      </c>
      <c r="I66" s="57">
        <f>ROUND($F66+$H66,0)</f>
      </c>
      <c r="J66" s="59">
        <f>IF($E66&gt;0,$I66/$E66,"")</f>
      </c>
      <c r="K66" s="57">
        <f>IF($E66&gt;0,$E66-$I66,"")</f>
      </c>
      <c r="L66" s="60">
        <f>IF($E66&gt;0,$K66/$E66,"")</f>
      </c>
      <c r="M66" s="61">
        <f>IF($D66&lt;=0,"⬜ 판매가 입력",IF($F66&lt;=0,"⬜ 재료 확인",IF($G66&lt;='③ 고정비 설정'!$C$29,"✅ 양호",IF($G66&lt;='③ 고정비 설정'!$C$30,"🟡 주의","🔴 과다"))))</f>
      </c>
      <c r="N66" s="62">
        <f>IF($D66&gt;0,$G66+ROW()/1000000,"")</f>
      </c>
    </row>
    <row r="67" spans="1:14" x14ac:dyDescent="0.25">
      <c r="A67" s="63">
        <v>62</v>
      </c>
      <c r="B67" s="64" t="s">
        <v>83</v>
      </c>
      <c r="C67" s="36" t="s">
        <v>164</v>
      </c>
      <c r="D67" s="55">
        <v>3500</v>
      </c>
      <c r="E67" s="56">
        <f>ROUND($D67/'③ 고정비 설정'!$C$25,0)</f>
      </c>
      <c r="F67" s="57">
        <f>ROUND(SUMIF('⑤ 레시피 상세'!$B$6:$B$593,$C67,'⑤ 레시피 상세'!$K$6:$K$593),1)</f>
      </c>
      <c r="G67" s="58">
        <f>IF($E67&gt;0,$F67/$E67,"")</f>
      </c>
      <c r="H67" s="57">
        <f>ROUND($E67*'③ 고정비 설정'!$C$28,0)</f>
      </c>
      <c r="I67" s="57">
        <f>ROUND($F67+$H67,0)</f>
      </c>
      <c r="J67" s="59">
        <f>IF($E67&gt;0,$I67/$E67,"")</f>
      </c>
      <c r="K67" s="57">
        <f>IF($E67&gt;0,$E67-$I67,"")</f>
      </c>
      <c r="L67" s="60">
        <f>IF($E67&gt;0,$K67/$E67,"")</f>
      </c>
      <c r="M67" s="61">
        <f>IF($D67&lt;=0,"⬜ 판매가 입력",IF($F67&lt;=0,"⬜ 재료 확인",IF($G67&lt;='③ 고정비 설정'!$C$29,"✅ 양호",IF($G67&lt;='③ 고정비 설정'!$C$30,"🟡 주의","🔴 과다"))))</f>
      </c>
      <c r="N67" s="62">
        <f>IF($D67&gt;0,$G67+ROW()/1000000,"")</f>
      </c>
    </row>
    <row r="68" spans="1:14" x14ac:dyDescent="0.25">
      <c r="A68" s="53">
        <v>63</v>
      </c>
      <c r="B68" s="54" t="s">
        <v>83</v>
      </c>
      <c r="C68" s="31" t="s">
        <v>165</v>
      </c>
      <c r="D68" s="55">
        <v>5500</v>
      </c>
      <c r="E68" s="56">
        <f>ROUND($D68/'③ 고정비 설정'!$C$25,0)</f>
      </c>
      <c r="F68" s="57">
        <f>ROUND(SUMIF('⑤ 레시피 상세'!$B$6:$B$593,$C68,'⑤ 레시피 상세'!$K$6:$K$593),1)</f>
      </c>
      <c r="G68" s="58">
        <f>IF($E68&gt;0,$F68/$E68,"")</f>
      </c>
      <c r="H68" s="57">
        <f>ROUND($E68*'③ 고정비 설정'!$C$28,0)</f>
      </c>
      <c r="I68" s="57">
        <f>ROUND($F68+$H68,0)</f>
      </c>
      <c r="J68" s="59">
        <f>IF($E68&gt;0,$I68/$E68,"")</f>
      </c>
      <c r="K68" s="57">
        <f>IF($E68&gt;0,$E68-$I68,"")</f>
      </c>
      <c r="L68" s="60">
        <f>IF($E68&gt;0,$K68/$E68,"")</f>
      </c>
      <c r="M68" s="61">
        <f>IF($D68&lt;=0,"⬜ 판매가 입력",IF($F68&lt;=0,"⬜ 재료 확인",IF($G68&lt;='③ 고정비 설정'!$C$29,"✅ 양호",IF($G68&lt;='③ 고정비 설정'!$C$30,"🟡 주의","🔴 과다"))))</f>
      </c>
      <c r="N68" s="62">
        <f>IF($D68&gt;0,$G68+ROW()/1000000,"")</f>
      </c>
    </row>
    <row r="69" spans="1:14" x14ac:dyDescent="0.25">
      <c r="A69" s="63">
        <v>64</v>
      </c>
      <c r="B69" s="64" t="s">
        <v>83</v>
      </c>
      <c r="C69" s="36" t="s">
        <v>166</v>
      </c>
      <c r="D69" s="55">
        <v>6000</v>
      </c>
      <c r="E69" s="56">
        <f>ROUND($D69/'③ 고정비 설정'!$C$25,0)</f>
      </c>
      <c r="F69" s="57">
        <f>ROUND(SUMIF('⑤ 레시피 상세'!$B$6:$B$593,$C69,'⑤ 레시피 상세'!$K$6:$K$593),1)</f>
      </c>
      <c r="G69" s="58">
        <f>IF($E69&gt;0,$F69/$E69,"")</f>
      </c>
      <c r="H69" s="57">
        <f>ROUND($E69*'③ 고정비 설정'!$C$28,0)</f>
      </c>
      <c r="I69" s="57">
        <f>ROUND($F69+$H69,0)</f>
      </c>
      <c r="J69" s="59">
        <f>IF($E69&gt;0,$I69/$E69,"")</f>
      </c>
      <c r="K69" s="57">
        <f>IF($E69&gt;0,$E69-$I69,"")</f>
      </c>
      <c r="L69" s="60">
        <f>IF($E69&gt;0,$K69/$E69,"")</f>
      </c>
      <c r="M69" s="61">
        <f>IF($D69&lt;=0,"⬜ 판매가 입력",IF($F69&lt;=0,"⬜ 재료 확인",IF($G69&lt;='③ 고정비 설정'!$C$29,"✅ 양호",IF($G69&lt;='③ 고정비 설정'!$C$30,"🟡 주의","🔴 과다"))))</f>
      </c>
      <c r="N69" s="62">
        <f>IF($D69&gt;0,$G69+ROW()/1000000,"")</f>
      </c>
    </row>
    <row r="70" spans="1:14" x14ac:dyDescent="0.25">
      <c r="A70" s="53">
        <v>65</v>
      </c>
      <c r="B70" s="54" t="s">
        <v>83</v>
      </c>
      <c r="C70" s="31" t="s">
        <v>167</v>
      </c>
      <c r="D70" s="55">
        <v>0</v>
      </c>
      <c r="E70" s="56">
        <f>ROUND($D70/'③ 고정비 설정'!$C$25,0)</f>
      </c>
      <c r="F70" s="57">
        <f>ROUND(SUMIF('⑤ 레시피 상세'!$B$6:$B$593,$C70,'⑤ 레시피 상세'!$K$6:$K$593),1)</f>
      </c>
      <c r="G70" s="58">
        <f>IF($E70&gt;0,$F70/$E70,"")</f>
      </c>
      <c r="H70" s="57">
        <f>ROUND($E70*'③ 고정비 설정'!$C$28,0)</f>
      </c>
      <c r="I70" s="57">
        <f>ROUND($F70+$H70,0)</f>
      </c>
      <c r="J70" s="59">
        <f>IF($E70&gt;0,$I70/$E70,"")</f>
      </c>
      <c r="K70" s="57">
        <f>IF($E70&gt;0,$E70-$I70,"")</f>
      </c>
      <c r="L70" s="60">
        <f>IF($E70&gt;0,$K70/$E70,"")</f>
      </c>
      <c r="M70" s="61">
        <f>IF($D70&lt;=0,"⬜ 판매가 입력",IF($F70&lt;=0,"⬜ 재료 확인",IF($G70&lt;='③ 고정비 설정'!$C$29,"✅ 양호",IF($G70&lt;='③ 고정비 설정'!$C$30,"🟡 주의","🔴 과다"))))</f>
      </c>
      <c r="N70" s="62">
        <f>IF($D70&gt;0,$G70+ROW()/1000000,"")</f>
      </c>
    </row>
    <row r="71" spans="1:14" x14ac:dyDescent="0.25">
      <c r="A71" s="63">
        <v>66</v>
      </c>
      <c r="B71" s="64" t="s">
        <v>83</v>
      </c>
      <c r="C71" s="36" t="s">
        <v>168</v>
      </c>
      <c r="D71" s="55">
        <v>3000</v>
      </c>
      <c r="E71" s="56">
        <f>ROUND($D71/'③ 고정비 설정'!$C$25,0)</f>
      </c>
      <c r="F71" s="57">
        <f>ROUND(SUMIF('⑤ 레시피 상세'!$B$6:$B$593,$C71,'⑤ 레시피 상세'!$K$6:$K$593),1)</f>
      </c>
      <c r="G71" s="58">
        <f>IF($E71&gt;0,$F71/$E71,"")</f>
      </c>
      <c r="H71" s="57">
        <f>ROUND($E71*'③ 고정비 설정'!$C$28,0)</f>
      </c>
      <c r="I71" s="57">
        <f>ROUND($F71+$H71,0)</f>
      </c>
      <c r="J71" s="59">
        <f>IF($E71&gt;0,$I71/$E71,"")</f>
      </c>
      <c r="K71" s="57">
        <f>IF($E71&gt;0,$E71-$I71,"")</f>
      </c>
      <c r="L71" s="60">
        <f>IF($E71&gt;0,$K71/$E71,"")</f>
      </c>
      <c r="M71" s="61">
        <f>IF($D71&lt;=0,"⬜ 판매가 입력",IF($F71&lt;=0,"⬜ 재료 확인",IF($G71&lt;='③ 고정비 설정'!$C$29,"✅ 양호",IF($G71&lt;='③ 고정비 설정'!$C$30,"🟡 주의","🔴 과다"))))</f>
      </c>
      <c r="N71" s="62">
        <f>IF($D71&gt;0,$G71+ROW()/1000000,"")</f>
      </c>
    </row>
    <row r="72" spans="1:14" x14ac:dyDescent="0.25">
      <c r="A72" s="53">
        <v>67</v>
      </c>
      <c r="B72" s="54" t="s">
        <v>83</v>
      </c>
      <c r="C72" s="31" t="s">
        <v>169</v>
      </c>
      <c r="D72" s="55">
        <v>4000</v>
      </c>
      <c r="E72" s="56">
        <f>ROUND($D72/'③ 고정비 설정'!$C$25,0)</f>
      </c>
      <c r="F72" s="57">
        <f>ROUND(SUMIF('⑤ 레시피 상세'!$B$6:$B$593,$C72,'⑤ 레시피 상세'!$K$6:$K$593),1)</f>
      </c>
      <c r="G72" s="58">
        <f>IF($E72&gt;0,$F72/$E72,"")</f>
      </c>
      <c r="H72" s="57">
        <f>ROUND($E72*'③ 고정비 설정'!$C$28,0)</f>
      </c>
      <c r="I72" s="57">
        <f>ROUND($F72+$H72,0)</f>
      </c>
      <c r="J72" s="59">
        <f>IF($E72&gt;0,$I72/$E72,"")</f>
      </c>
      <c r="K72" s="57">
        <f>IF($E72&gt;0,$E72-$I72,"")</f>
      </c>
      <c r="L72" s="60">
        <f>IF($E72&gt;0,$K72/$E72,"")</f>
      </c>
      <c r="M72" s="61">
        <f>IF($D72&lt;=0,"⬜ 판매가 입력",IF($F72&lt;=0,"⬜ 재료 확인",IF($G72&lt;='③ 고정비 설정'!$C$29,"✅ 양호",IF($G72&lt;='③ 고정비 설정'!$C$30,"🟡 주의","🔴 과다"))))</f>
      </c>
      <c r="N72" s="62">
        <f>IF($D72&gt;0,$G72+ROW()/1000000,"")</f>
      </c>
    </row>
    <row r="73" spans="1:14" x14ac:dyDescent="0.25">
      <c r="A73" s="63">
        <v>68</v>
      </c>
      <c r="B73" s="64" t="s">
        <v>84</v>
      </c>
      <c r="C73" s="36" t="s">
        <v>170</v>
      </c>
      <c r="D73" s="55">
        <v>0</v>
      </c>
      <c r="E73" s="56">
        <f>ROUND($D73/'③ 고정비 설정'!$C$25,0)</f>
      </c>
      <c r="F73" s="57">
        <f>ROUND(SUMIF('⑤ 레시피 상세'!$B$6:$B$593,$C73,'⑤ 레시피 상세'!$K$6:$K$593),1)</f>
      </c>
      <c r="G73" s="58">
        <f>IF($E73&gt;0,$F73/$E73,"")</f>
      </c>
      <c r="H73" s="57">
        <f>ROUND($E73*'③ 고정비 설정'!$C$28,0)</f>
      </c>
      <c r="I73" s="57">
        <f>ROUND($F73+$H73,0)</f>
      </c>
      <c r="J73" s="59">
        <f>IF($E73&gt;0,$I73/$E73,"")</f>
      </c>
      <c r="K73" s="57">
        <f>IF($E73&gt;0,$E73-$I73,"")</f>
      </c>
      <c r="L73" s="60">
        <f>IF($E73&gt;0,$K73/$E73,"")</f>
      </c>
      <c r="M73" s="61">
        <f>IF($D73&lt;=0,"⬜ 판매가 입력",IF($F73&lt;=0,"⬜ 재료 확인",IF($G73&lt;='③ 고정비 설정'!$C$29,"✅ 양호",IF($G73&lt;='③ 고정비 설정'!$C$30,"🟡 주의","🔴 과다"))))</f>
      </c>
      <c r="N73" s="62">
        <f>IF($D73&gt;0,$G73+ROW()/1000000,"")</f>
      </c>
    </row>
    <row r="74" spans="1:14" x14ac:dyDescent="0.25">
      <c r="A74" s="53">
        <v>69</v>
      </c>
      <c r="B74" s="54" t="s">
        <v>84</v>
      </c>
      <c r="C74" s="31" t="s">
        <v>171</v>
      </c>
      <c r="D74" s="55">
        <v>0</v>
      </c>
      <c r="E74" s="56">
        <f>ROUND($D74/'③ 고정비 설정'!$C$25,0)</f>
      </c>
      <c r="F74" s="57">
        <f>ROUND(SUMIF('⑤ 레시피 상세'!$B$6:$B$593,$C74,'⑤ 레시피 상세'!$K$6:$K$593),1)</f>
      </c>
      <c r="G74" s="58">
        <f>IF($E74&gt;0,$F74/$E74,"")</f>
      </c>
      <c r="H74" s="57">
        <f>ROUND($E74*'③ 고정비 설정'!$C$28,0)</f>
      </c>
      <c r="I74" s="57">
        <f>ROUND($F74+$H74,0)</f>
      </c>
      <c r="J74" s="59">
        <f>IF($E74&gt;0,$I74/$E74,"")</f>
      </c>
      <c r="K74" s="57">
        <f>IF($E74&gt;0,$E74-$I74,"")</f>
      </c>
      <c r="L74" s="60">
        <f>IF($E74&gt;0,$K74/$E74,"")</f>
      </c>
      <c r="M74" s="61">
        <f>IF($D74&lt;=0,"⬜ 판매가 입력",IF($F74&lt;=0,"⬜ 재료 확인",IF($G74&lt;='③ 고정비 설정'!$C$29,"✅ 양호",IF($G74&lt;='③ 고정비 설정'!$C$30,"🟡 주의","🔴 과다"))))</f>
      </c>
      <c r="N74" s="62">
        <f>IF($D74&gt;0,$G74+ROW()/1000000,"")</f>
      </c>
    </row>
    <row r="75" spans="1:14" x14ac:dyDescent="0.25">
      <c r="A75" s="63">
        <v>70</v>
      </c>
      <c r="B75" s="64" t="s">
        <v>84</v>
      </c>
      <c r="C75" s="36" t="s">
        <v>172</v>
      </c>
      <c r="D75" s="55">
        <v>0</v>
      </c>
      <c r="E75" s="56">
        <f>ROUND($D75/'③ 고정비 설정'!$C$25,0)</f>
      </c>
      <c r="F75" s="57">
        <f>ROUND(SUMIF('⑤ 레시피 상세'!$B$6:$B$593,$C75,'⑤ 레시피 상세'!$K$6:$K$593),1)</f>
      </c>
      <c r="G75" s="58">
        <f>IF($E75&gt;0,$F75/$E75,"")</f>
      </c>
      <c r="H75" s="57">
        <f>ROUND($E75*'③ 고정비 설정'!$C$28,0)</f>
      </c>
      <c r="I75" s="57">
        <f>ROUND($F75+$H75,0)</f>
      </c>
      <c r="J75" s="59">
        <f>IF($E75&gt;0,$I75/$E75,"")</f>
      </c>
      <c r="K75" s="57">
        <f>IF($E75&gt;0,$E75-$I75,"")</f>
      </c>
      <c r="L75" s="60">
        <f>IF($E75&gt;0,$K75/$E75,"")</f>
      </c>
      <c r="M75" s="61">
        <f>IF($D75&lt;=0,"⬜ 판매가 입력",IF($F75&lt;=0,"⬜ 재료 확인",IF($G75&lt;='③ 고정비 설정'!$C$29,"✅ 양호",IF($G75&lt;='③ 고정비 설정'!$C$30,"🟡 주의","🔴 과다"))))</f>
      </c>
      <c r="N75" s="62">
        <f>IF($D75&gt;0,$G75+ROW()/1000000,"")</f>
      </c>
    </row>
    <row r="76" spans="1:14" x14ac:dyDescent="0.25">
      <c r="A76" s="53">
        <v>71</v>
      </c>
      <c r="B76" s="54" t="s">
        <v>84</v>
      </c>
      <c r="C76" s="31" t="s">
        <v>173</v>
      </c>
      <c r="D76" s="55">
        <v>0</v>
      </c>
      <c r="E76" s="56">
        <f>ROUND($D76/'③ 고정비 설정'!$C$25,0)</f>
      </c>
      <c r="F76" s="57">
        <f>ROUND(SUMIF('⑤ 레시피 상세'!$B$6:$B$593,$C76,'⑤ 레시피 상세'!$K$6:$K$593),1)</f>
      </c>
      <c r="G76" s="58">
        <f>IF($E76&gt;0,$F76/$E76,"")</f>
      </c>
      <c r="H76" s="57">
        <f>ROUND($E76*'③ 고정비 설정'!$C$28,0)</f>
      </c>
      <c r="I76" s="57">
        <f>ROUND($F76+$H76,0)</f>
      </c>
      <c r="J76" s="59">
        <f>IF($E76&gt;0,$I76/$E76,"")</f>
      </c>
      <c r="K76" s="57">
        <f>IF($E76&gt;0,$E76-$I76,"")</f>
      </c>
      <c r="L76" s="60">
        <f>IF($E76&gt;0,$K76/$E76,"")</f>
      </c>
      <c r="M76" s="61">
        <f>IF($D76&lt;=0,"⬜ 판매가 입력",IF($F76&lt;=0,"⬜ 재료 확인",IF($G76&lt;='③ 고정비 설정'!$C$29,"✅ 양호",IF($G76&lt;='③ 고정비 설정'!$C$30,"🟡 주의","🔴 과다"))))</f>
      </c>
      <c r="N76" s="62">
        <f>IF($D76&gt;0,$G76+ROW()/1000000,"")</f>
      </c>
    </row>
    <row r="77" spans="1:14" x14ac:dyDescent="0.25">
      <c r="A77" s="63">
        <v>72</v>
      </c>
      <c r="B77" s="64" t="s">
        <v>84</v>
      </c>
      <c r="C77" s="36" t="s">
        <v>174</v>
      </c>
      <c r="D77" s="55">
        <v>0</v>
      </c>
      <c r="E77" s="56">
        <f>ROUND($D77/'③ 고정비 설정'!$C$25,0)</f>
      </c>
      <c r="F77" s="57">
        <f>ROUND(SUMIF('⑤ 레시피 상세'!$B$6:$B$593,$C77,'⑤ 레시피 상세'!$K$6:$K$593),1)</f>
      </c>
      <c r="G77" s="58">
        <f>IF($E77&gt;0,$F77/$E77,"")</f>
      </c>
      <c r="H77" s="57">
        <f>ROUND($E77*'③ 고정비 설정'!$C$28,0)</f>
      </c>
      <c r="I77" s="57">
        <f>ROUND($F77+$H77,0)</f>
      </c>
      <c r="J77" s="59">
        <f>IF($E77&gt;0,$I77/$E77,"")</f>
      </c>
      <c r="K77" s="57">
        <f>IF($E77&gt;0,$E77-$I77,"")</f>
      </c>
      <c r="L77" s="60">
        <f>IF($E77&gt;0,$K77/$E77,"")</f>
      </c>
      <c r="M77" s="61">
        <f>IF($D77&lt;=0,"⬜ 판매가 입력",IF($F77&lt;=0,"⬜ 재료 확인",IF($G77&lt;='③ 고정비 설정'!$C$29,"✅ 양호",IF($G77&lt;='③ 고정비 설정'!$C$30,"🟡 주의","🔴 과다"))))</f>
      </c>
      <c r="N77" s="62">
        <f>IF($D77&gt;0,$G77+ROW()/1000000,"")</f>
      </c>
    </row>
    <row r="78" spans="1:14" x14ac:dyDescent="0.25">
      <c r="A78" s="53">
        <v>73</v>
      </c>
      <c r="B78" s="54" t="s">
        <v>85</v>
      </c>
      <c r="C78" s="31" t="s">
        <v>175</v>
      </c>
      <c r="D78" s="55">
        <v>8000</v>
      </c>
      <c r="E78" s="56">
        <f>ROUND($D78/'③ 고정비 설정'!$C$25,0)</f>
      </c>
      <c r="F78" s="57">
        <f>ROUND(SUMIF('⑤ 레시피 상세'!$B$6:$B$593,$C78,'⑤ 레시피 상세'!$K$6:$K$593),1)</f>
      </c>
      <c r="G78" s="58">
        <f>IF($E78&gt;0,$F78/$E78,"")</f>
      </c>
      <c r="H78" s="57">
        <f>ROUND($E78*'③ 고정비 설정'!$C$28,0)</f>
      </c>
      <c r="I78" s="57">
        <f>ROUND($F78+$H78,0)</f>
      </c>
      <c r="J78" s="59">
        <f>IF($E78&gt;0,$I78/$E78,"")</f>
      </c>
      <c r="K78" s="57">
        <f>IF($E78&gt;0,$E78-$I78,"")</f>
      </c>
      <c r="L78" s="60">
        <f>IF($E78&gt;0,$K78/$E78,"")</f>
      </c>
      <c r="M78" s="61">
        <f>IF($D78&lt;=0,"⬜ 판매가 입력",IF($F78&lt;=0,"⬜ 재료 확인",IF($G78&lt;='③ 고정비 설정'!$C$29,"✅ 양호",IF($G78&lt;='③ 고정비 설정'!$C$30,"🟡 주의","🔴 과다"))))</f>
      </c>
      <c r="N78" s="62">
        <f>IF($D78&gt;0,$G78+ROW()/1000000,"")</f>
      </c>
    </row>
    <row r="79" spans="1:14" x14ac:dyDescent="0.25">
      <c r="A79" s="63">
        <v>74</v>
      </c>
      <c r="B79" s="64" t="s">
        <v>85</v>
      </c>
      <c r="C79" s="36" t="s">
        <v>176</v>
      </c>
      <c r="D79" s="55">
        <v>0</v>
      </c>
      <c r="E79" s="56">
        <f>ROUND($D79/'③ 고정비 설정'!$C$25,0)</f>
      </c>
      <c r="F79" s="57">
        <f>ROUND(SUMIF('⑤ 레시피 상세'!$B$6:$B$593,$C79,'⑤ 레시피 상세'!$K$6:$K$593),1)</f>
      </c>
      <c r="G79" s="58">
        <f>IF($E79&gt;0,$F79/$E79,"")</f>
      </c>
      <c r="H79" s="57">
        <f>ROUND($E79*'③ 고정비 설정'!$C$28,0)</f>
      </c>
      <c r="I79" s="57">
        <f>ROUND($F79+$H79,0)</f>
      </c>
      <c r="J79" s="59">
        <f>IF($E79&gt;0,$I79/$E79,"")</f>
      </c>
      <c r="K79" s="57">
        <f>IF($E79&gt;0,$E79-$I79,"")</f>
      </c>
      <c r="L79" s="60">
        <f>IF($E79&gt;0,$K79/$E79,"")</f>
      </c>
      <c r="M79" s="61">
        <f>IF($D79&lt;=0,"⬜ 판매가 입력",IF($F79&lt;=0,"⬜ 재료 확인",IF($G79&lt;='③ 고정비 설정'!$C$29,"✅ 양호",IF($G79&lt;='③ 고정비 설정'!$C$30,"🟡 주의","🔴 과다"))))</f>
      </c>
      <c r="N79" s="62">
        <f>IF($D79&gt;0,$G79+ROW()/1000000,"")</f>
      </c>
    </row>
    <row r="80" spans="1:14" x14ac:dyDescent="0.25">
      <c r="A80" s="53">
        <v>75</v>
      </c>
      <c r="B80" s="54" t="s">
        <v>85</v>
      </c>
      <c r="C80" s="31" t="s">
        <v>177</v>
      </c>
      <c r="D80" s="55">
        <v>19000</v>
      </c>
      <c r="E80" s="56">
        <f>ROUND($D80/'③ 고정비 설정'!$C$25,0)</f>
      </c>
      <c r="F80" s="57">
        <f>ROUND(SUMIF('⑤ 레시피 상세'!$B$6:$B$593,$C80,'⑤ 레시피 상세'!$K$6:$K$593),1)</f>
      </c>
      <c r="G80" s="58">
        <f>IF($E80&gt;0,$F80/$E80,"")</f>
      </c>
      <c r="H80" s="57">
        <f>ROUND($E80*'③ 고정비 설정'!$C$28,0)</f>
      </c>
      <c r="I80" s="57">
        <f>ROUND($F80+$H80,0)</f>
      </c>
      <c r="J80" s="59">
        <f>IF($E80&gt;0,$I80/$E80,"")</f>
      </c>
      <c r="K80" s="57">
        <f>IF($E80&gt;0,$E80-$I80,"")</f>
      </c>
      <c r="L80" s="60">
        <f>IF($E80&gt;0,$K80/$E80,"")</f>
      </c>
      <c r="M80" s="61">
        <f>IF($D80&lt;=0,"⬜ 판매가 입력",IF($F80&lt;=0,"⬜ 재료 확인",IF($G80&lt;='③ 고정비 설정'!$C$29,"✅ 양호",IF($G80&lt;='③ 고정비 설정'!$C$30,"🟡 주의","🔴 과다"))))</f>
      </c>
      <c r="N80" s="62">
        <f>IF($D80&gt;0,$G80+ROW()/1000000,"")</f>
      </c>
    </row>
    <row r="81" spans="1:14" x14ac:dyDescent="0.25">
      <c r="A81" s="63">
        <v>76</v>
      </c>
      <c r="B81" s="64" t="s">
        <v>86</v>
      </c>
      <c r="C81" s="36" t="s">
        <v>178</v>
      </c>
      <c r="D81" s="55">
        <v>2000</v>
      </c>
      <c r="E81" s="56">
        <f>ROUND($D81/'③ 고정비 설정'!$C$25,0)</f>
      </c>
      <c r="F81" s="57">
        <f>ROUND(SUMIF('⑤ 레시피 상세'!$B$6:$B$593,$C81,'⑤ 레시피 상세'!$K$6:$K$593),1)</f>
      </c>
      <c r="G81" s="58">
        <f>IF($E81&gt;0,$F81/$E81,"")</f>
      </c>
      <c r="H81" s="57">
        <f>ROUND($E81*'③ 고정비 설정'!$C$28,0)</f>
      </c>
      <c r="I81" s="57">
        <f>ROUND($F81+$H81,0)</f>
      </c>
      <c r="J81" s="59">
        <f>IF($E81&gt;0,$I81/$E81,"")</f>
      </c>
      <c r="K81" s="57">
        <f>IF($E81&gt;0,$E81-$I81,"")</f>
      </c>
      <c r="L81" s="60">
        <f>IF($E81&gt;0,$K81/$E81,"")</f>
      </c>
      <c r="M81" s="61">
        <f>IF($D81&lt;=0,"⬜ 판매가 입력",IF($F81&lt;=0,"⬜ 재료 확인",IF($G81&lt;='③ 고정비 설정'!$C$29,"✅ 양호",IF($G81&lt;='③ 고정비 설정'!$C$30,"🟡 주의","🔴 과다"))))</f>
      </c>
      <c r="N81" s="62">
        <f>IF($D81&gt;0,$G81+ROW()/1000000,"")</f>
      </c>
    </row>
    <row r="82" spans="1:14" x14ac:dyDescent="0.25">
      <c r="A82" s="53">
        <v>77</v>
      </c>
      <c r="B82" s="54" t="s">
        <v>86</v>
      </c>
      <c r="C82" s="31" t="s">
        <v>179</v>
      </c>
      <c r="D82" s="55">
        <v>6000</v>
      </c>
      <c r="E82" s="56">
        <f>ROUND($D82/'③ 고정비 설정'!$C$25,0)</f>
      </c>
      <c r="F82" s="57">
        <f>ROUND(SUMIF('⑤ 레시피 상세'!$B$6:$B$593,$C82,'⑤ 레시피 상세'!$K$6:$K$593),1)</f>
      </c>
      <c r="G82" s="58">
        <f>IF($E82&gt;0,$F82/$E82,"")</f>
      </c>
      <c r="H82" s="57">
        <f>ROUND($E82*'③ 고정비 설정'!$C$28,0)</f>
      </c>
      <c r="I82" s="57">
        <f>ROUND($F82+$H82,0)</f>
      </c>
      <c r="J82" s="59">
        <f>IF($E82&gt;0,$I82/$E82,"")</f>
      </c>
      <c r="K82" s="57">
        <f>IF($E82&gt;0,$E82-$I82,"")</f>
      </c>
      <c r="L82" s="60">
        <f>IF($E82&gt;0,$K82/$E82,"")</f>
      </c>
      <c r="M82" s="61">
        <f>IF($D82&lt;=0,"⬜ 판매가 입력",IF($F82&lt;=0,"⬜ 재료 확인",IF($G82&lt;='③ 고정비 설정'!$C$29,"✅ 양호",IF($G82&lt;='③ 고정비 설정'!$C$30,"🟡 주의","🔴 과다"))))</f>
      </c>
      <c r="N82" s="62">
        <f>IF($D82&gt;0,$G82+ROW()/1000000,"")</f>
      </c>
    </row>
    <row r="83" spans="1:14" x14ac:dyDescent="0.25">
      <c r="A83" s="63">
        <v>78</v>
      </c>
      <c r="B83" s="64" t="s">
        <v>86</v>
      </c>
      <c r="C83" s="36" t="s">
        <v>180</v>
      </c>
      <c r="D83" s="55">
        <v>2000</v>
      </c>
      <c r="E83" s="56">
        <f>ROUND($D83/'③ 고정비 설정'!$C$25,0)</f>
      </c>
      <c r="F83" s="57">
        <f>ROUND(SUMIF('⑤ 레시피 상세'!$B$6:$B$593,$C83,'⑤ 레시피 상세'!$K$6:$K$593),1)</f>
      </c>
      <c r="G83" s="58">
        <f>IF($E83&gt;0,$F83/$E83,"")</f>
      </c>
      <c r="H83" s="57">
        <f>ROUND($E83*'③ 고정비 설정'!$C$28,0)</f>
      </c>
      <c r="I83" s="57">
        <f>ROUND($F83+$H83,0)</f>
      </c>
      <c r="J83" s="59">
        <f>IF($E83&gt;0,$I83/$E83,"")</f>
      </c>
      <c r="K83" s="57">
        <f>IF($E83&gt;0,$E83-$I83,"")</f>
      </c>
      <c r="L83" s="60">
        <f>IF($E83&gt;0,$K83/$E83,"")</f>
      </c>
      <c r="M83" s="61">
        <f>IF($D83&lt;=0,"⬜ 판매가 입력",IF($F83&lt;=0,"⬜ 재료 확인",IF($G83&lt;='③ 고정비 설정'!$C$29,"✅ 양호",IF($G83&lt;='③ 고정비 설정'!$C$30,"🟡 주의","🔴 과다"))))</f>
      </c>
      <c r="N83" s="62">
        <f>IF($D83&gt;0,$G83+ROW()/1000000,"")</f>
      </c>
    </row>
    <row r="84" spans="1:14" x14ac:dyDescent="0.25">
      <c r="A84" s="53">
        <v>79</v>
      </c>
      <c r="B84" s="54" t="s">
        <v>86</v>
      </c>
      <c r="C84" s="31" t="s">
        <v>181</v>
      </c>
      <c r="D84" s="55">
        <v>0</v>
      </c>
      <c r="E84" s="56">
        <f>ROUND($D84/'③ 고정비 설정'!$C$25,0)</f>
      </c>
      <c r="F84" s="57">
        <f>ROUND(SUMIF('⑤ 레시피 상세'!$B$6:$B$593,$C84,'⑤ 레시피 상세'!$K$6:$K$593),1)</f>
      </c>
      <c r="G84" s="58">
        <f>IF($E84&gt;0,$F84/$E84,"")</f>
      </c>
      <c r="H84" s="57">
        <f>ROUND($E84*'③ 고정비 설정'!$C$28,0)</f>
      </c>
      <c r="I84" s="57">
        <f>ROUND($F84+$H84,0)</f>
      </c>
      <c r="J84" s="59">
        <f>IF($E84&gt;0,$I84/$E84,"")</f>
      </c>
      <c r="K84" s="57">
        <f>IF($E84&gt;0,$E84-$I84,"")</f>
      </c>
      <c r="L84" s="60">
        <f>IF($E84&gt;0,$K84/$E84,"")</f>
      </c>
      <c r="M84" s="61">
        <f>IF($D84&lt;=0,"⬜ 판매가 입력",IF($F84&lt;=0,"⬜ 재료 확인",IF($G84&lt;='③ 고정비 설정'!$C$29,"✅ 양호",IF($G84&lt;='③ 고정비 설정'!$C$30,"🟡 주의","🔴 과다"))))</f>
      </c>
      <c r="N84" s="62">
        <f>IF($D84&gt;0,$G84+ROW()/1000000,"")</f>
      </c>
    </row>
    <row r="85" spans="1:14" x14ac:dyDescent="0.25">
      <c r="A85" s="63">
        <v>80</v>
      </c>
      <c r="B85" s="64" t="s">
        <v>87</v>
      </c>
      <c r="C85" s="36" t="s">
        <v>182</v>
      </c>
      <c r="D85" s="55">
        <v>4000</v>
      </c>
      <c r="E85" s="56">
        <f>ROUND($D85/'③ 고정비 설정'!$C$25,0)</f>
      </c>
      <c r="F85" s="57">
        <f>ROUND(SUMIF('⑤ 레시피 상세'!$B$6:$B$593,$C85,'⑤ 레시피 상세'!$K$6:$K$593),1)</f>
      </c>
      <c r="G85" s="58">
        <f>IF($E85&gt;0,$F85/$E85,"")</f>
      </c>
      <c r="H85" s="57">
        <f>ROUND($E85*'③ 고정비 설정'!$C$28,0)</f>
      </c>
      <c r="I85" s="57">
        <f>ROUND($F85+$H85,0)</f>
      </c>
      <c r="J85" s="59">
        <f>IF($E85&gt;0,$I85/$E85,"")</f>
      </c>
      <c r="K85" s="57">
        <f>IF($E85&gt;0,$E85-$I85,"")</f>
      </c>
      <c r="L85" s="60">
        <f>IF($E85&gt;0,$K85/$E85,"")</f>
      </c>
      <c r="M85" s="61">
        <f>IF($D85&lt;=0,"⬜ 판매가 입력",IF($F85&lt;=0,"⬜ 재료 확인",IF($G85&lt;='③ 고정비 설정'!$C$29,"✅ 양호",IF($G85&lt;='③ 고정비 설정'!$C$30,"🟡 주의","🔴 과다"))))</f>
      </c>
      <c r="N85" s="62">
        <f>IF($D85&gt;0,$G85+ROW()/1000000,"")</f>
      </c>
    </row>
    <row r="86" spans="1:14" x14ac:dyDescent="0.25">
      <c r="A86" s="53">
        <v>81</v>
      </c>
      <c r="B86" s="54" t="s">
        <v>87</v>
      </c>
      <c r="C86" s="31" t="s">
        <v>183</v>
      </c>
      <c r="D86" s="55">
        <v>4000</v>
      </c>
      <c r="E86" s="56">
        <f>ROUND($D86/'③ 고정비 설정'!$C$25,0)</f>
      </c>
      <c r="F86" s="57">
        <f>ROUND(SUMIF('⑤ 레시피 상세'!$B$6:$B$593,$C86,'⑤ 레시피 상세'!$K$6:$K$593),1)</f>
      </c>
      <c r="G86" s="58">
        <f>IF($E86&gt;0,$F86/$E86,"")</f>
      </c>
      <c r="H86" s="57">
        <f>ROUND($E86*'③ 고정비 설정'!$C$28,0)</f>
      </c>
      <c r="I86" s="57">
        <f>ROUND($F86+$H86,0)</f>
      </c>
      <c r="J86" s="59">
        <f>IF($E86&gt;0,$I86/$E86,"")</f>
      </c>
      <c r="K86" s="57">
        <f>IF($E86&gt;0,$E86-$I86,"")</f>
      </c>
      <c r="L86" s="60">
        <f>IF($E86&gt;0,$K86/$E86,"")</f>
      </c>
      <c r="M86" s="61">
        <f>IF($D86&lt;=0,"⬜ 판매가 입력",IF($F86&lt;=0,"⬜ 재료 확인",IF($G86&lt;='③ 고정비 설정'!$C$29,"✅ 양호",IF($G86&lt;='③ 고정비 설정'!$C$30,"🟡 주의","🔴 과다"))))</f>
      </c>
      <c r="N86" s="62">
        <f>IF($D86&gt;0,$G86+ROW()/1000000,"")</f>
      </c>
    </row>
    <row r="87" spans="1:14" x14ac:dyDescent="0.25">
      <c r="A87" s="63">
        <v>82</v>
      </c>
      <c r="B87" s="64" t="s">
        <v>87</v>
      </c>
      <c r="C87" s="36" t="s">
        <v>184</v>
      </c>
      <c r="D87" s="55">
        <v>4000</v>
      </c>
      <c r="E87" s="56">
        <f>ROUND($D87/'③ 고정비 설정'!$C$25,0)</f>
      </c>
      <c r="F87" s="57">
        <f>ROUND(SUMIF('⑤ 레시피 상세'!$B$6:$B$593,$C87,'⑤ 레시피 상세'!$K$6:$K$593),1)</f>
      </c>
      <c r="G87" s="58">
        <f>IF($E87&gt;0,$F87/$E87,"")</f>
      </c>
      <c r="H87" s="57">
        <f>ROUND($E87*'③ 고정비 설정'!$C$28,0)</f>
      </c>
      <c r="I87" s="57">
        <f>ROUND($F87+$H87,0)</f>
      </c>
      <c r="J87" s="59">
        <f>IF($E87&gt;0,$I87/$E87,"")</f>
      </c>
      <c r="K87" s="57">
        <f>IF($E87&gt;0,$E87-$I87,"")</f>
      </c>
      <c r="L87" s="60">
        <f>IF($E87&gt;0,$K87/$E87,"")</f>
      </c>
      <c r="M87" s="61">
        <f>IF($D87&lt;=0,"⬜ 판매가 입력",IF($F87&lt;=0,"⬜ 재료 확인",IF($G87&lt;='③ 고정비 설정'!$C$29,"✅ 양호",IF($G87&lt;='③ 고정비 설정'!$C$30,"🟡 주의","🔴 과다"))))</f>
      </c>
      <c r="N87" s="62">
        <f>IF($D87&gt;0,$G87+ROW()/1000000,"")</f>
      </c>
    </row>
    <row r="88" spans="1:14" x14ac:dyDescent="0.25">
      <c r="A88" s="53">
        <v>83</v>
      </c>
      <c r="B88" s="54" t="s">
        <v>87</v>
      </c>
      <c r="C88" s="31" t="s">
        <v>185</v>
      </c>
      <c r="D88" s="55">
        <v>4000</v>
      </c>
      <c r="E88" s="56">
        <f>ROUND($D88/'③ 고정비 설정'!$C$25,0)</f>
      </c>
      <c r="F88" s="57">
        <f>ROUND(SUMIF('⑤ 레시피 상세'!$B$6:$B$593,$C88,'⑤ 레시피 상세'!$K$6:$K$593),1)</f>
      </c>
      <c r="G88" s="58">
        <f>IF($E88&gt;0,$F88/$E88,"")</f>
      </c>
      <c r="H88" s="57">
        <f>ROUND($E88*'③ 고정비 설정'!$C$28,0)</f>
      </c>
      <c r="I88" s="57">
        <f>ROUND($F88+$H88,0)</f>
      </c>
      <c r="J88" s="59">
        <f>IF($E88&gt;0,$I88/$E88,"")</f>
      </c>
      <c r="K88" s="57">
        <f>IF($E88&gt;0,$E88-$I88,"")</f>
      </c>
      <c r="L88" s="60">
        <f>IF($E88&gt;0,$K88/$E88,"")</f>
      </c>
      <c r="M88" s="61">
        <f>IF($D88&lt;=0,"⬜ 판매가 입력",IF($F88&lt;=0,"⬜ 재료 확인",IF($G88&lt;='③ 고정비 설정'!$C$29,"✅ 양호",IF($G88&lt;='③ 고정비 설정'!$C$30,"🟡 주의","🔴 과다"))))</f>
      </c>
      <c r="N88" s="62">
        <f>IF($D88&gt;0,$G88+ROW()/1000000,"")</f>
      </c>
    </row>
    <row r="89" spans="1:14" x14ac:dyDescent="0.25">
      <c r="A89" s="63">
        <v>84</v>
      </c>
      <c r="B89" s="64" t="s">
        <v>87</v>
      </c>
      <c r="C89" s="36" t="s">
        <v>186</v>
      </c>
      <c r="D89" s="55">
        <v>3500</v>
      </c>
      <c r="E89" s="56">
        <f>ROUND($D89/'③ 고정비 설정'!$C$25,0)</f>
      </c>
      <c r="F89" s="57">
        <f>ROUND(SUMIF('⑤ 레시피 상세'!$B$6:$B$593,$C89,'⑤ 레시피 상세'!$K$6:$K$593),1)</f>
      </c>
      <c r="G89" s="58">
        <f>IF($E89&gt;0,$F89/$E89,"")</f>
      </c>
      <c r="H89" s="57">
        <f>ROUND($E89*'③ 고정비 설정'!$C$28,0)</f>
      </c>
      <c r="I89" s="57">
        <f>ROUND($F89+$H89,0)</f>
      </c>
      <c r="J89" s="59">
        <f>IF($E89&gt;0,$I89/$E89,"")</f>
      </c>
      <c r="K89" s="57">
        <f>IF($E89&gt;0,$E89-$I89,"")</f>
      </c>
      <c r="L89" s="60">
        <f>IF($E89&gt;0,$K89/$E89,"")</f>
      </c>
      <c r="M89" s="61">
        <f>IF($D89&lt;=0,"⬜ 판매가 입력",IF($F89&lt;=0,"⬜ 재료 확인",IF($G89&lt;='③ 고정비 설정'!$C$29,"✅ 양호",IF($G89&lt;='③ 고정비 설정'!$C$30,"🟡 주의","🔴 과다"))))</f>
      </c>
      <c r="N89" s="62">
        <f>IF($D89&gt;0,$G89+ROW()/1000000,"")</f>
      </c>
    </row>
    <row r="90" spans="1:14" x14ac:dyDescent="0.25">
      <c r="A90" s="53">
        <v>85</v>
      </c>
      <c r="B90" s="54" t="s">
        <v>88</v>
      </c>
      <c r="C90" s="31" t="s">
        <v>187</v>
      </c>
      <c r="D90" s="55">
        <v>32000</v>
      </c>
      <c r="E90" s="56">
        <f>ROUND($D90/'③ 고정비 설정'!$C$25,0)</f>
      </c>
      <c r="F90" s="57">
        <f>ROUND(SUMIF('⑤ 레시피 상세'!$B$594:$B$612,$C90,'⑤ 레시피 상세'!$K$594:$K$612),1)</f>
      </c>
      <c r="G90" s="58">
        <f>IF($E90&gt;0,$F90/$E90,"")</f>
      </c>
      <c r="H90" s="57">
        <f>ROUND($E90*'③ 고정비 설정'!$C$28,0)</f>
      </c>
      <c r="I90" s="57">
        <f>ROUND($F90+$H90,0)</f>
      </c>
      <c r="J90" s="59">
        <f>IF($E90&gt;0,$I90/$E90,"")</f>
      </c>
      <c r="K90" s="57">
        <f>IF($E90&gt;0,$E90-$I90,"")</f>
      </c>
      <c r="L90" s="60">
        <f>IF($E90&gt;0,$K90/$E90,"")</f>
      </c>
      <c r="M90" s="61">
        <f>IF($D90&lt;=0,"⬜ 판매가 입력",IF($F90&lt;=0,"⬜ 재료 확인",IF($G90&lt;='③ 고정비 설정'!$C$29,"✅ 양호",IF($G90&lt;='③ 고정비 설정'!$C$30,"🟡 주의","🔴 과다"))))</f>
      </c>
      <c r="N90" s="62">
        <f>IF($D90&gt;0,$G90+ROW()/1000000,"")</f>
      </c>
    </row>
    <row r="91" spans="1:14" x14ac:dyDescent="0.25">
      <c r="A91" s="63">
        <v>86</v>
      </c>
      <c r="B91" s="64" t="s">
        <v>88</v>
      </c>
      <c r="C91" s="36" t="s">
        <v>188</v>
      </c>
      <c r="D91" s="55">
        <v>57000</v>
      </c>
      <c r="E91" s="56">
        <f>ROUND($D91/'③ 고정비 설정'!$C$25,0)</f>
      </c>
      <c r="F91" s="57">
        <f>ROUND(SUMIF('⑤ 레시피 상세'!$B$594:$B$612,$C91,'⑤ 레시피 상세'!$K$594:$K$612),1)</f>
      </c>
      <c r="G91" s="58">
        <f>IF($E91&gt;0,$F91/$E91,"")</f>
      </c>
      <c r="H91" s="57">
        <f>ROUND($E91*'③ 고정비 설정'!$C$28,0)</f>
      </c>
      <c r="I91" s="57">
        <f>ROUND($F91+$H91,0)</f>
      </c>
      <c r="J91" s="59">
        <f>IF($E91&gt;0,$I91/$E91,"")</f>
      </c>
      <c r="K91" s="57">
        <f>IF($E91&gt;0,$E91-$I91,"")</f>
      </c>
      <c r="L91" s="60">
        <f>IF($E91&gt;0,$K91/$E91,"")</f>
      </c>
      <c r="M91" s="61">
        <f>IF($D91&lt;=0,"⬜ 판매가 입력",IF($F91&lt;=0,"⬜ 재료 확인",IF($G91&lt;='③ 고정비 설정'!$C$29,"✅ 양호",IF($G91&lt;='③ 고정비 설정'!$C$30,"🟡 주의","🔴 과다"))))</f>
      </c>
      <c r="N91" s="62">
        <f>IF($D91&gt;0,$G91+ROW()/1000000,"")</f>
      </c>
    </row>
    <row r="92" spans="1:14" x14ac:dyDescent="0.25">
      <c r="A92" s="53">
        <v>87</v>
      </c>
      <c r="B92" s="54" t="s">
        <v>88</v>
      </c>
      <c r="C92" s="31" t="s">
        <v>189</v>
      </c>
      <c r="D92" s="55">
        <v>71000</v>
      </c>
      <c r="E92" s="56">
        <f>ROUND($D92/'③ 고정비 설정'!$C$25,0)</f>
      </c>
      <c r="F92" s="57">
        <f>ROUND(SUMIF('⑤ 레시피 상세'!$B$594:$B$612,$C92,'⑤ 레시피 상세'!$K$594:$K$612),1)</f>
      </c>
      <c r="G92" s="58">
        <f>IF($E92&gt;0,$F92/$E92,"")</f>
      </c>
      <c r="H92" s="57">
        <f>ROUND($E92*'③ 고정비 설정'!$C$28,0)</f>
      </c>
      <c r="I92" s="57">
        <f>ROUND($F92+$H92,0)</f>
      </c>
      <c r="J92" s="59">
        <f>IF($E92&gt;0,$I92/$E92,"")</f>
      </c>
      <c r="K92" s="57">
        <f>IF($E92&gt;0,$E92-$I92,"")</f>
      </c>
      <c r="L92" s="60">
        <f>IF($E92&gt;0,$K92/$E92,"")</f>
      </c>
      <c r="M92" s="61">
        <f>IF($D92&lt;=0,"⬜ 판매가 입력",IF($F92&lt;=0,"⬜ 재료 확인",IF($G92&lt;='③ 고정비 설정'!$C$29,"✅ 양호",IF($G92&lt;='③ 고정비 설정'!$C$30,"🟡 주의","🔴 과다"))))</f>
      </c>
      <c r="N92" s="62">
        <f>IF($D92&gt;0,$G92+ROW()/1000000,"")</f>
      </c>
    </row>
    <row r="93" spans="1:14" x14ac:dyDescent="0.25">
      <c r="A93" s="65" t="s">
        <v>190</v>
      </c>
      <c r="B93" s="65"/>
      <c r="C93" s="65"/>
      <c r="D93" s="66">
        <f>SUM(D6:D92)</f>
      </c>
      <c r="E93" s="66">
        <f>SUM(E6:E92)</f>
      </c>
      <c r="F93" s="66">
        <f>SUM(F6:F92)</f>
      </c>
      <c r="G93" s="67">
        <f>IF(E93&gt;0,F93/E93,"")</f>
      </c>
      <c r="H93" s="66">
        <f>SUM(H6:H92)</f>
      </c>
      <c r="I93" s="66">
        <f>SUM(I6:I92)</f>
      </c>
      <c r="J93" s="67">
        <f>IF(E93&gt;0,I93/E93,"")</f>
      </c>
      <c r="K93" s="66">
        <f>IF(E93&gt;0,E93-I93,"")</f>
      </c>
      <c r="L93" s="67">
        <f>IF(E93&gt;0,K93/E93,"")</f>
      </c>
      <c r="M93" s="68">
        <f>"✅"&amp;COUNTIF(M6:M92,"*양호*")&amp;"  🟡"&amp;COUNTIF(M6:M92,"*주의*")&amp;"  🔴"&amp;COUNTIF(M6:M92,"*과다*")</f>
      </c>
      <c r="N93" s="69"/>
    </row>
  </sheetData>
  <autoFilter ref="A5:M92"/>
  <mergeCells count="4">
    <mergeCell ref="A1:N1"/>
    <mergeCell ref="A2:N2"/>
    <mergeCell ref="A3:N3"/>
    <mergeCell ref="A93:C93"/>
  </mergeCells>
  <conditionalFormatting sqref="G6:G92">
    <cfRule type="cellIs" dxfId="0" priority="1" operator="greaterThan">
      <formula>'③ 고정비 설정'!$C$30</formula>
    </cfRule>
    <cfRule type="cellIs" dxfId="1" priority="2" operator="greaterThan">
      <formula>'③ 고정비 설정'!$C$29</formula>
    </cfRule>
    <cfRule type="cellIs" dxfId="2" priority="3" operator="greaterThan">
      <formula>0</formula>
    </cfRule>
  </conditionalFormatting>
  <conditionalFormatting sqref="L6:L92">
    <cfRule type="colorScale" priority="4">
      <colorScale>
        <cfvo type="min"/>
        <cfvo type="percentile" val="50"/>
        <cfvo type="max"/>
        <color rgb="FFFECACA"/>
        <color rgb="FFFEF3C7"/>
        <color rgb="FFD1FAE5"/>
      </colorScale>
    </cfRule>
  </conditionalFormatting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2"/>
  <sheetViews>
    <sheetView workbookViewId="0" showGridLines="0">
      <pane xSplit="2" ySplit="5" topLeftCell="C6" activePane="bottomRight" state="frozen"/>
      <selection pane="bottomRight"/>
    </sheetView>
  </sheetViews>
  <sheetFormatPr defaultRowHeight="19" outlineLevelRow="0" outlineLevelCol="0" x14ac:dyDescent="55" customHeight="1"/>
  <cols>
    <col min="1" max="1" width="14" customWidth="1"/>
    <col min="2" max="2" width="22" customWidth="1"/>
    <col min="3" max="3" width="6" customWidth="1"/>
    <col min="5" max="5" width="30" customWidth="1"/>
    <col min="6" max="6" width="24" customWidth="1"/>
    <col min="7" max="7" width="11" customWidth="1"/>
    <col min="8" max="8" width="12" customWidth="1"/>
    <col min="10" max="11" width="13" customWidth="1"/>
    <col min="12" max="12" width="28" customWidth="1"/>
  </cols>
  <sheetData>
    <row r="1" ht="34" customHeight="1" spans="1:12" x14ac:dyDescent="0.25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52" t="s">
        <v>193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ht="26" customHeight="1" spans="1:12" x14ac:dyDescent="0.25">
      <c r="A5" s="30" t="s">
        <v>67</v>
      </c>
      <c r="B5" s="30" t="s">
        <v>91</v>
      </c>
      <c r="C5" s="30" t="s">
        <v>194</v>
      </c>
      <c r="D5" s="30" t="s">
        <v>195</v>
      </c>
      <c r="E5" s="30" t="s">
        <v>196</v>
      </c>
      <c r="F5" s="30" t="s">
        <v>197</v>
      </c>
      <c r="G5" s="30" t="s">
        <v>198</v>
      </c>
      <c r="H5" s="30" t="s">
        <v>199</v>
      </c>
      <c r="I5" s="30" t="s">
        <v>200</v>
      </c>
      <c r="J5" s="30" t="s">
        <v>201</v>
      </c>
      <c r="K5" s="30" t="s">
        <v>202</v>
      </c>
      <c r="L5" s="30" t="s">
        <v>203</v>
      </c>
    </row>
    <row r="6" spans="1:12" x14ac:dyDescent="0.25">
      <c r="A6" s="70" t="s">
        <v>75</v>
      </c>
      <c r="B6" s="31" t="s">
        <v>103</v>
      </c>
      <c r="C6" s="53">
        <v>1</v>
      </c>
      <c r="D6" s="71" t="s">
        <v>204</v>
      </c>
      <c r="E6" s="44" t="s">
        <v>205</v>
      </c>
      <c r="F6" s="70" t="s">
        <v>206</v>
      </c>
      <c r="G6" s="72">
        <v>100</v>
      </c>
      <c r="H6" s="53" t="s">
        <v>207</v>
      </c>
      <c r="I6" s="73">
        <v>1</v>
      </c>
      <c r="J6" s="74">
        <f>IF($D6="무료",0,IF($D6="메뉴",0,IF($D6="프렙",IFERROR(VLOOKUP($E6,'② 프렙 원가'!$B$6:$F$16,5,FALSE),0),IFERROR(VLOOKUP($E6,'① 식재료 단가'!$B$6:$G$123,6,FALSE),0))))</f>
      </c>
      <c r="K6" s="75">
        <f>IF($D6="메뉴",ROUND($G6*$J6,1),IF($I6&gt;0,ROUND($G6/$I6*$J6,1),0))</f>
      </c>
      <c r="L6" s="54" t="s">
        <v>208</v>
      </c>
    </row>
    <row r="7" spans="1:12" x14ac:dyDescent="0.25">
      <c r="A7" s="70" t="s">
        <v>75</v>
      </c>
      <c r="B7" s="31" t="s">
        <v>103</v>
      </c>
      <c r="C7" s="53">
        <v>2</v>
      </c>
      <c r="D7" s="76" t="s">
        <v>209</v>
      </c>
      <c r="E7" s="44" t="s">
        <v>210</v>
      </c>
      <c r="F7" s="70" t="s">
        <v>66</v>
      </c>
      <c r="G7" s="72">
        <v>200</v>
      </c>
      <c r="H7" s="53" t="s">
        <v>207</v>
      </c>
      <c r="I7" s="73">
        <v>1</v>
      </c>
      <c r="J7" s="74">
        <f>IF($D7="무료",0,IF($D7="메뉴",0,IF($D7="프렙",IFERROR(VLOOKUP($E7,'② 프렙 원가'!$B$6:$F$16,5,FALSE),0),IFERROR(VLOOKUP($E7,'① 식재료 단가'!$B$6:$G$123,6,FALSE),0))))</f>
      </c>
      <c r="K7" s="75">
        <f>IF($D7="메뉴",ROUND($G7*$J7,1),IF($I7&gt;0,ROUND($G7/$I7*$J7,1),0))</f>
      </c>
      <c r="L7" s="54" t="s">
        <v>211</v>
      </c>
    </row>
    <row r="8" spans="1:12" x14ac:dyDescent="0.25">
      <c r="A8" s="70" t="s">
        <v>75</v>
      </c>
      <c r="B8" s="31" t="s">
        <v>103</v>
      </c>
      <c r="C8" s="53">
        <v>3</v>
      </c>
      <c r="D8" s="71" t="s">
        <v>204</v>
      </c>
      <c r="E8" s="44" t="s">
        <v>212</v>
      </c>
      <c r="F8" s="70" t="s">
        <v>213</v>
      </c>
      <c r="G8" s="72">
        <v>10</v>
      </c>
      <c r="H8" s="53" t="s">
        <v>207</v>
      </c>
      <c r="I8" s="73">
        <v>1</v>
      </c>
      <c r="J8" s="74">
        <f>IF($D8="무료",0,IF($D8="메뉴",0,IF($D8="프렙",IFERROR(VLOOKUP($E8,'② 프렙 원가'!$B$6:$F$16,5,FALSE),0),IFERROR(VLOOKUP($E8,'① 식재료 단가'!$B$6:$G$123,6,FALSE),0))))</f>
      </c>
      <c r="K8" s="75">
        <f>IF($D8="메뉴",ROUND($G8*$J8,1),IF($I8&gt;0,ROUND($G8/$I8*$J8,1),0))</f>
      </c>
      <c r="L8" s="54" t="s">
        <v>214</v>
      </c>
    </row>
    <row r="9" spans="1:12" x14ac:dyDescent="0.25">
      <c r="A9" s="70" t="s">
        <v>75</v>
      </c>
      <c r="B9" s="31" t="s">
        <v>103</v>
      </c>
      <c r="C9" s="53">
        <v>4</v>
      </c>
      <c r="D9" s="71" t="s">
        <v>204</v>
      </c>
      <c r="E9" s="44" t="s">
        <v>215</v>
      </c>
      <c r="F9" s="70" t="s">
        <v>66</v>
      </c>
      <c r="G9" s="72">
        <v>30</v>
      </c>
      <c r="H9" s="53" t="s">
        <v>207</v>
      </c>
      <c r="I9" s="73">
        <v>1</v>
      </c>
      <c r="J9" s="74">
        <f>IF($D9="무료",0,IF($D9="메뉴",0,IF($D9="프렙",IFERROR(VLOOKUP($E9,'② 프렙 원가'!$B$6:$F$16,5,FALSE),0),IFERROR(VLOOKUP($E9,'① 식재료 단가'!$B$6:$G$123,6,FALSE),0))))</f>
      </c>
      <c r="K9" s="75">
        <f>IF($D9="메뉴",ROUND($G9*$J9,1),IF($I9&gt;0,ROUND($G9/$I9*$J9,1),0))</f>
      </c>
      <c r="L9" s="54" t="s">
        <v>66</v>
      </c>
    </row>
    <row r="10" spans="1:12" x14ac:dyDescent="0.25">
      <c r="A10" s="70" t="s">
        <v>75</v>
      </c>
      <c r="B10" s="31" t="s">
        <v>103</v>
      </c>
      <c r="C10" s="53">
        <v>5</v>
      </c>
      <c r="D10" s="71" t="s">
        <v>204</v>
      </c>
      <c r="E10" s="44" t="s">
        <v>216</v>
      </c>
      <c r="F10" s="70" t="s">
        <v>66</v>
      </c>
      <c r="G10" s="72">
        <v>5</v>
      </c>
      <c r="H10" s="53" t="s">
        <v>207</v>
      </c>
      <c r="I10" s="73">
        <v>1</v>
      </c>
      <c r="J10" s="74">
        <f>IF($D10="무료",0,IF($D10="메뉴",0,IF($D10="프렙",IFERROR(VLOOKUP($E10,'② 프렙 원가'!$B$6:$F$16,5,FALSE),0),IFERROR(VLOOKUP($E10,'① 식재료 단가'!$B$6:$G$123,6,FALSE),0))))</f>
      </c>
      <c r="K10" s="75">
        <f>IF($D10="메뉴",ROUND($G10*$J10,1),IF($I10&gt;0,ROUND($G10/$I10*$J10,1),0))</f>
      </c>
      <c r="L10" s="54" t="s">
        <v>66</v>
      </c>
    </row>
    <row r="11" spans="1:12" x14ac:dyDescent="0.25">
      <c r="A11" s="70" t="s">
        <v>75</v>
      </c>
      <c r="B11" s="31" t="s">
        <v>103</v>
      </c>
      <c r="C11" s="53">
        <v>6</v>
      </c>
      <c r="D11" s="71" t="s">
        <v>204</v>
      </c>
      <c r="E11" s="44" t="s">
        <v>217</v>
      </c>
      <c r="F11" s="70" t="s">
        <v>66</v>
      </c>
      <c r="G11" s="72">
        <v>3</v>
      </c>
      <c r="H11" s="53" t="s">
        <v>207</v>
      </c>
      <c r="I11" s="73">
        <v>1</v>
      </c>
      <c r="J11" s="74">
        <f>IF($D11="무료",0,IF($D11="메뉴",0,IF($D11="프렙",IFERROR(VLOOKUP($E11,'② 프렙 원가'!$B$6:$F$16,5,FALSE),0),IFERROR(VLOOKUP($E11,'① 식재료 단가'!$B$6:$G$123,6,FALSE),0))))</f>
      </c>
      <c r="K11" s="75">
        <f>IF($D11="메뉴",ROUND($G11*$J11,1),IF($I11&gt;0,ROUND($G11/$I11*$J11,1),0))</f>
      </c>
      <c r="L11" s="54" t="s">
        <v>218</v>
      </c>
    </row>
    <row r="12" spans="1:12" x14ac:dyDescent="0.25">
      <c r="A12" s="70" t="s">
        <v>75</v>
      </c>
      <c r="B12" s="31" t="s">
        <v>103</v>
      </c>
      <c r="C12" s="53">
        <v>7</v>
      </c>
      <c r="D12" s="71" t="s">
        <v>204</v>
      </c>
      <c r="E12" s="44" t="s">
        <v>219</v>
      </c>
      <c r="F12" s="70" t="s">
        <v>220</v>
      </c>
      <c r="G12" s="72">
        <v>5</v>
      </c>
      <c r="H12" s="53" t="s">
        <v>207</v>
      </c>
      <c r="I12" s="73">
        <v>1</v>
      </c>
      <c r="J12" s="74">
        <f>IF($D12="무료",0,IF($D12="메뉴",0,IF($D12="프렙",IFERROR(VLOOKUP($E12,'② 프렙 원가'!$B$6:$F$16,5,FALSE),0),IFERROR(VLOOKUP($E12,'① 식재료 단가'!$B$6:$G$123,6,FALSE),0))))</f>
      </c>
      <c r="K12" s="75">
        <f>IF($D12="메뉴",ROUND($G12*$J12,1),IF($I12&gt;0,ROUND($G12/$I12*$J12,1),0))</f>
      </c>
      <c r="L12" s="54" t="s">
        <v>221</v>
      </c>
    </row>
    <row r="13" spans="1:12" x14ac:dyDescent="0.25">
      <c r="A13" s="77" t="s">
        <v>75</v>
      </c>
      <c r="B13" s="36" t="s">
        <v>104</v>
      </c>
      <c r="C13" s="63">
        <v>1</v>
      </c>
      <c r="D13" s="78" t="s">
        <v>204</v>
      </c>
      <c r="E13" s="49" t="s">
        <v>222</v>
      </c>
      <c r="F13" s="77" t="s">
        <v>223</v>
      </c>
      <c r="G13" s="72">
        <v>35</v>
      </c>
      <c r="H13" s="63" t="s">
        <v>207</v>
      </c>
      <c r="I13" s="73">
        <v>1</v>
      </c>
      <c r="J13" s="74">
        <f>IF($D13="무료",0,IF($D13="메뉴",0,IF($D13="프렙",IFERROR(VLOOKUP($E13,'② 프렙 원가'!$B$6:$F$16,5,FALSE),0),IFERROR(VLOOKUP($E13,'① 식재료 단가'!$B$6:$G$123,6,FALSE),0))))</f>
      </c>
      <c r="K13" s="75">
        <f>IF($D13="메뉴",ROUND($G13*$J13,1),IF($I13&gt;0,ROUND($G13/$I13*$J13,1),0))</f>
      </c>
      <c r="L13" s="64" t="s">
        <v>224</v>
      </c>
    </row>
    <row r="14" spans="1:12" x14ac:dyDescent="0.25">
      <c r="A14" s="77" t="s">
        <v>75</v>
      </c>
      <c r="B14" s="36" t="s">
        <v>104</v>
      </c>
      <c r="C14" s="63">
        <v>2</v>
      </c>
      <c r="D14" s="79" t="s">
        <v>209</v>
      </c>
      <c r="E14" s="49" t="s">
        <v>225</v>
      </c>
      <c r="F14" s="77" t="s">
        <v>226</v>
      </c>
      <c r="G14" s="72">
        <v>170</v>
      </c>
      <c r="H14" s="63" t="s">
        <v>207</v>
      </c>
      <c r="I14" s="73">
        <v>1</v>
      </c>
      <c r="J14" s="74">
        <f>IF($D14="무료",0,IF($D14="메뉴",0,IF($D14="프렙",IFERROR(VLOOKUP($E14,'② 프렙 원가'!$B$6:$F$16,5,FALSE),0),IFERROR(VLOOKUP($E14,'① 식재료 단가'!$B$6:$G$123,6,FALSE),0))))</f>
      </c>
      <c r="K14" s="75">
        <f>IF($D14="메뉴",ROUND($G14*$J14,1),IF($I14&gt;0,ROUND($G14/$I14*$J14,1),0))</f>
      </c>
      <c r="L14" s="64" t="s">
        <v>227</v>
      </c>
    </row>
    <row r="15" spans="1:12" x14ac:dyDescent="0.25">
      <c r="A15" s="77" t="s">
        <v>75</v>
      </c>
      <c r="B15" s="36" t="s">
        <v>104</v>
      </c>
      <c r="C15" s="63">
        <v>3</v>
      </c>
      <c r="D15" s="78" t="s">
        <v>204</v>
      </c>
      <c r="E15" s="49" t="s">
        <v>215</v>
      </c>
      <c r="F15" s="77" t="s">
        <v>66</v>
      </c>
      <c r="G15" s="72">
        <v>25</v>
      </c>
      <c r="H15" s="63" t="s">
        <v>207</v>
      </c>
      <c r="I15" s="73">
        <v>1</v>
      </c>
      <c r="J15" s="74">
        <f>IF($D15="무료",0,IF($D15="메뉴",0,IF($D15="프렙",IFERROR(VLOOKUP($E15,'② 프렙 원가'!$B$6:$F$16,5,FALSE),0),IFERROR(VLOOKUP($E15,'① 식재료 단가'!$B$6:$G$123,6,FALSE),0))))</f>
      </c>
      <c r="K15" s="75">
        <f>IF($D15="메뉴",ROUND($G15*$J15,1),IF($I15&gt;0,ROUND($G15/$I15*$J15,1),0))</f>
      </c>
      <c r="L15" s="64" t="s">
        <v>66</v>
      </c>
    </row>
    <row r="16" spans="1:12" x14ac:dyDescent="0.25">
      <c r="A16" s="77" t="s">
        <v>75</v>
      </c>
      <c r="B16" s="36" t="s">
        <v>104</v>
      </c>
      <c r="C16" s="63">
        <v>4</v>
      </c>
      <c r="D16" s="78" t="s">
        <v>204</v>
      </c>
      <c r="E16" s="49" t="s">
        <v>228</v>
      </c>
      <c r="F16" s="77" t="s">
        <v>66</v>
      </c>
      <c r="G16" s="72">
        <v>15</v>
      </c>
      <c r="H16" s="63" t="s">
        <v>207</v>
      </c>
      <c r="I16" s="73">
        <v>1</v>
      </c>
      <c r="J16" s="74">
        <f>IF($D16="무료",0,IF($D16="메뉴",0,IF($D16="프렙",IFERROR(VLOOKUP($E16,'② 프렙 원가'!$B$6:$F$16,5,FALSE),0),IFERROR(VLOOKUP($E16,'① 식재료 단가'!$B$6:$G$123,6,FALSE),0))))</f>
      </c>
      <c r="K16" s="75">
        <f>IF($D16="메뉴",ROUND($G16*$J16,1),IF($I16&gt;0,ROUND($G16/$I16*$J16,1),0))</f>
      </c>
      <c r="L16" s="64" t="s">
        <v>229</v>
      </c>
    </row>
    <row r="17" spans="1:12" x14ac:dyDescent="0.25">
      <c r="A17" s="77" t="s">
        <v>75</v>
      </c>
      <c r="B17" s="36" t="s">
        <v>104</v>
      </c>
      <c r="C17" s="63">
        <v>5</v>
      </c>
      <c r="D17" s="78" t="s">
        <v>204</v>
      </c>
      <c r="E17" s="49" t="s">
        <v>216</v>
      </c>
      <c r="F17" s="77" t="s">
        <v>66</v>
      </c>
      <c r="G17" s="72">
        <v>3</v>
      </c>
      <c r="H17" s="63" t="s">
        <v>207</v>
      </c>
      <c r="I17" s="73">
        <v>1</v>
      </c>
      <c r="J17" s="74">
        <f>IF($D17="무료",0,IF($D17="메뉴",0,IF($D17="프렙",IFERROR(VLOOKUP($E17,'② 프렙 원가'!$B$6:$F$16,5,FALSE),0),IFERROR(VLOOKUP($E17,'① 식재료 단가'!$B$6:$G$123,6,FALSE),0))))</f>
      </c>
      <c r="K17" s="75">
        <f>IF($D17="메뉴",ROUND($G17*$J17,1),IF($I17&gt;0,ROUND($G17/$I17*$J17,1),0))</f>
      </c>
      <c r="L17" s="64" t="s">
        <v>66</v>
      </c>
    </row>
    <row r="18" spans="1:12" x14ac:dyDescent="0.25">
      <c r="A18" s="70" t="s">
        <v>75</v>
      </c>
      <c r="B18" s="31" t="s">
        <v>105</v>
      </c>
      <c r="C18" s="53">
        <v>1</v>
      </c>
      <c r="D18" s="71" t="s">
        <v>204</v>
      </c>
      <c r="E18" s="44" t="s">
        <v>222</v>
      </c>
      <c r="F18" s="70" t="s">
        <v>223</v>
      </c>
      <c r="G18" s="72">
        <v>60</v>
      </c>
      <c r="H18" s="53" t="s">
        <v>207</v>
      </c>
      <c r="I18" s="73">
        <v>1</v>
      </c>
      <c r="J18" s="74">
        <f>IF($D18="무료",0,IF($D18="메뉴",0,IF($D18="프렙",IFERROR(VLOOKUP($E18,'② 프렙 원가'!$B$6:$F$16,5,FALSE),0),IFERROR(VLOOKUP($E18,'① 식재료 단가'!$B$6:$G$123,6,FALSE),0))))</f>
      </c>
      <c r="K18" s="75">
        <f>IF($D18="메뉴",ROUND($G18*$J18,1),IF($I18&gt;0,ROUND($G18/$I18*$J18,1),0))</f>
      </c>
      <c r="L18" s="54" t="s">
        <v>230</v>
      </c>
    </row>
    <row r="19" spans="1:12" x14ac:dyDescent="0.25">
      <c r="A19" s="70" t="s">
        <v>75</v>
      </c>
      <c r="B19" s="31" t="s">
        <v>105</v>
      </c>
      <c r="C19" s="53">
        <v>2</v>
      </c>
      <c r="D19" s="76" t="s">
        <v>209</v>
      </c>
      <c r="E19" s="44" t="s">
        <v>210</v>
      </c>
      <c r="F19" s="70" t="s">
        <v>66</v>
      </c>
      <c r="G19" s="72">
        <v>120</v>
      </c>
      <c r="H19" s="53" t="s">
        <v>207</v>
      </c>
      <c r="I19" s="73">
        <v>1</v>
      </c>
      <c r="J19" s="74">
        <f>IF($D19="무료",0,IF($D19="메뉴",0,IF($D19="프렙",IFERROR(VLOOKUP($E19,'② 프렙 원가'!$B$6:$F$16,5,FALSE),0),IFERROR(VLOOKUP($E19,'① 식재료 단가'!$B$6:$G$123,6,FALSE),0))))</f>
      </c>
      <c r="K19" s="75">
        <f>IF($D19="메뉴",ROUND($G19*$J19,1),IF($I19&gt;0,ROUND($G19/$I19*$J19,1),0))</f>
      </c>
      <c r="L19" s="54" t="s">
        <v>66</v>
      </c>
    </row>
    <row r="20" spans="1:12" x14ac:dyDescent="0.25">
      <c r="A20" s="70" t="s">
        <v>75</v>
      </c>
      <c r="B20" s="31" t="s">
        <v>105</v>
      </c>
      <c r="C20" s="53">
        <v>3</v>
      </c>
      <c r="D20" s="71" t="s">
        <v>204</v>
      </c>
      <c r="E20" s="44" t="s">
        <v>231</v>
      </c>
      <c r="F20" s="70" t="s">
        <v>66</v>
      </c>
      <c r="G20" s="72">
        <v>5</v>
      </c>
      <c r="H20" s="53" t="s">
        <v>207</v>
      </c>
      <c r="I20" s="73">
        <v>1</v>
      </c>
      <c r="J20" s="74">
        <f>IF($D20="무료",0,IF($D20="메뉴",0,IF($D20="프렙",IFERROR(VLOOKUP($E20,'② 프렙 원가'!$B$6:$F$16,5,FALSE),0),IFERROR(VLOOKUP($E20,'① 식재료 단가'!$B$6:$G$123,6,FALSE),0))))</f>
      </c>
      <c r="K20" s="75">
        <f>IF($D20="메뉴",ROUND($G20*$J20,1),IF($I20&gt;0,ROUND($G20/$I20*$J20,1),0))</f>
      </c>
      <c r="L20" s="54" t="s">
        <v>66</v>
      </c>
    </row>
    <row r="21" spans="1:12" x14ac:dyDescent="0.25">
      <c r="A21" s="70" t="s">
        <v>75</v>
      </c>
      <c r="B21" s="31" t="s">
        <v>105</v>
      </c>
      <c r="C21" s="53">
        <v>4</v>
      </c>
      <c r="D21" s="71" t="s">
        <v>204</v>
      </c>
      <c r="E21" s="44" t="s">
        <v>232</v>
      </c>
      <c r="F21" s="70" t="s">
        <v>66</v>
      </c>
      <c r="G21" s="72">
        <v>5</v>
      </c>
      <c r="H21" s="53" t="s">
        <v>207</v>
      </c>
      <c r="I21" s="73">
        <v>1</v>
      </c>
      <c r="J21" s="74">
        <f>IF($D21="무료",0,IF($D21="메뉴",0,IF($D21="프렙",IFERROR(VLOOKUP($E21,'② 프렙 원가'!$B$6:$F$16,5,FALSE),0),IFERROR(VLOOKUP($E21,'① 식재료 단가'!$B$6:$G$123,6,FALSE),0))))</f>
      </c>
      <c r="K21" s="75">
        <f>IF($D21="메뉴",ROUND($G21*$J21,1),IF($I21&gt;0,ROUND($G21/$I21*$J21,1),0))</f>
      </c>
      <c r="L21" s="54" t="s">
        <v>233</v>
      </c>
    </row>
    <row r="22" spans="1:12" x14ac:dyDescent="0.25">
      <c r="A22" s="70" t="s">
        <v>75</v>
      </c>
      <c r="B22" s="31" t="s">
        <v>105</v>
      </c>
      <c r="C22" s="53">
        <v>5</v>
      </c>
      <c r="D22" s="71" t="s">
        <v>204</v>
      </c>
      <c r="E22" s="44" t="s">
        <v>217</v>
      </c>
      <c r="F22" s="70" t="s">
        <v>66</v>
      </c>
      <c r="G22" s="72">
        <v>20</v>
      </c>
      <c r="H22" s="53" t="s">
        <v>207</v>
      </c>
      <c r="I22" s="73">
        <v>1</v>
      </c>
      <c r="J22" s="74">
        <f>IF($D22="무료",0,IF($D22="메뉴",0,IF($D22="프렙",IFERROR(VLOOKUP($E22,'② 프렙 원가'!$B$6:$F$16,5,FALSE),0),IFERROR(VLOOKUP($E22,'① 식재료 단가'!$B$6:$G$123,6,FALSE),0))))</f>
      </c>
      <c r="K22" s="75">
        <f>IF($D22="메뉴",ROUND($G22*$J22,1),IF($I22&gt;0,ROUND($G22/$I22*$J22,1),0))</f>
      </c>
      <c r="L22" s="54" t="s">
        <v>66</v>
      </c>
    </row>
    <row r="23" spans="1:12" x14ac:dyDescent="0.25">
      <c r="A23" s="70" t="s">
        <v>75</v>
      </c>
      <c r="B23" s="31" t="s">
        <v>105</v>
      </c>
      <c r="C23" s="53">
        <v>6</v>
      </c>
      <c r="D23" s="71" t="s">
        <v>204</v>
      </c>
      <c r="E23" s="44" t="s">
        <v>216</v>
      </c>
      <c r="F23" s="70" t="s">
        <v>66</v>
      </c>
      <c r="G23" s="72">
        <v>15</v>
      </c>
      <c r="H23" s="53" t="s">
        <v>207</v>
      </c>
      <c r="I23" s="73">
        <v>1</v>
      </c>
      <c r="J23" s="74">
        <f>IF($D23="무료",0,IF($D23="메뉴",0,IF($D23="프렙",IFERROR(VLOOKUP($E23,'② 프렙 원가'!$B$6:$F$16,5,FALSE),0),IFERROR(VLOOKUP($E23,'① 식재료 단가'!$B$6:$G$123,6,FALSE),0))))</f>
      </c>
      <c r="K23" s="75">
        <f>IF($D23="메뉴",ROUND($G23*$J23,1),IF($I23&gt;0,ROUND($G23/$I23*$J23,1),0))</f>
      </c>
      <c r="L23" s="54" t="s">
        <v>66</v>
      </c>
    </row>
    <row r="24" spans="1:12" x14ac:dyDescent="0.25">
      <c r="A24" s="70" t="s">
        <v>75</v>
      </c>
      <c r="B24" s="31" t="s">
        <v>105</v>
      </c>
      <c r="C24" s="53">
        <v>7</v>
      </c>
      <c r="D24" s="71" t="s">
        <v>204</v>
      </c>
      <c r="E24" s="44" t="s">
        <v>215</v>
      </c>
      <c r="F24" s="70" t="s">
        <v>66</v>
      </c>
      <c r="G24" s="72">
        <v>20</v>
      </c>
      <c r="H24" s="53" t="s">
        <v>207</v>
      </c>
      <c r="I24" s="73">
        <v>1</v>
      </c>
      <c r="J24" s="74">
        <f>IF($D24="무료",0,IF($D24="메뉴",0,IF($D24="프렙",IFERROR(VLOOKUP($E24,'② 프렙 원가'!$B$6:$F$16,5,FALSE),0),IFERROR(VLOOKUP($E24,'① 식재료 단가'!$B$6:$G$123,6,FALSE),0))))</f>
      </c>
      <c r="K24" s="75">
        <f>IF($D24="메뉴",ROUND($G24*$J24,1),IF($I24&gt;0,ROUND($G24/$I24*$J24,1),0))</f>
      </c>
      <c r="L24" s="54" t="s">
        <v>66</v>
      </c>
    </row>
    <row r="25" spans="1:12" x14ac:dyDescent="0.25">
      <c r="A25" s="70" t="s">
        <v>75</v>
      </c>
      <c r="B25" s="31" t="s">
        <v>105</v>
      </c>
      <c r="C25" s="53">
        <v>8</v>
      </c>
      <c r="D25" s="71" t="s">
        <v>204</v>
      </c>
      <c r="E25" s="44" t="s">
        <v>212</v>
      </c>
      <c r="F25" s="70" t="s">
        <v>66</v>
      </c>
      <c r="G25" s="72">
        <v>5</v>
      </c>
      <c r="H25" s="53" t="s">
        <v>207</v>
      </c>
      <c r="I25" s="73">
        <v>1</v>
      </c>
      <c r="J25" s="74">
        <f>IF($D25="무료",0,IF($D25="메뉴",0,IF($D25="프렙",IFERROR(VLOOKUP($E25,'② 프렙 원가'!$B$6:$F$16,5,FALSE),0),IFERROR(VLOOKUP($E25,'① 식재료 단가'!$B$6:$G$123,6,FALSE),0))))</f>
      </c>
      <c r="K25" s="75">
        <f>IF($D25="메뉴",ROUND($G25*$J25,1),IF($I25&gt;0,ROUND($G25/$I25*$J25,1),0))</f>
      </c>
      <c r="L25" s="54" t="s">
        <v>66</v>
      </c>
    </row>
    <row r="26" spans="1:12" x14ac:dyDescent="0.25">
      <c r="A26" s="77" t="s">
        <v>75</v>
      </c>
      <c r="B26" s="36" t="s">
        <v>106</v>
      </c>
      <c r="C26" s="63">
        <v>1</v>
      </c>
      <c r="D26" s="78" t="s">
        <v>204</v>
      </c>
      <c r="E26" s="49" t="s">
        <v>222</v>
      </c>
      <c r="F26" s="77" t="s">
        <v>223</v>
      </c>
      <c r="G26" s="72">
        <v>70</v>
      </c>
      <c r="H26" s="63" t="s">
        <v>207</v>
      </c>
      <c r="I26" s="73">
        <v>1</v>
      </c>
      <c r="J26" s="74">
        <f>IF($D26="무료",0,IF($D26="메뉴",0,IF($D26="프렙",IFERROR(VLOOKUP($E26,'② 프렙 원가'!$B$6:$F$16,5,FALSE),0),IFERROR(VLOOKUP($E26,'① 식재료 단가'!$B$6:$G$123,6,FALSE),0))))</f>
      </c>
      <c r="K26" s="75">
        <f>IF($D26="메뉴",ROUND($G26*$J26,1),IF($I26&gt;0,ROUND($G26/$I26*$J26,1),0))</f>
      </c>
      <c r="L26" s="64" t="s">
        <v>230</v>
      </c>
    </row>
    <row r="27" spans="1:12" x14ac:dyDescent="0.25">
      <c r="A27" s="77" t="s">
        <v>75</v>
      </c>
      <c r="B27" s="36" t="s">
        <v>106</v>
      </c>
      <c r="C27" s="63">
        <v>2</v>
      </c>
      <c r="D27" s="78" t="s">
        <v>204</v>
      </c>
      <c r="E27" s="49" t="s">
        <v>234</v>
      </c>
      <c r="F27" s="77" t="s">
        <v>66</v>
      </c>
      <c r="G27" s="72">
        <v>10</v>
      </c>
      <c r="H27" s="63" t="s">
        <v>207</v>
      </c>
      <c r="I27" s="73">
        <v>1</v>
      </c>
      <c r="J27" s="74">
        <f>IF($D27="무료",0,IF($D27="메뉴",0,IF($D27="프렙",IFERROR(VLOOKUP($E27,'② 프렙 원가'!$B$6:$F$16,5,FALSE),0),IFERROR(VLOOKUP($E27,'① 식재료 단가'!$B$6:$G$123,6,FALSE),0))))</f>
      </c>
      <c r="K27" s="75">
        <f>IF($D27="메뉴",ROUND($G27*$J27,1),IF($I27&gt;0,ROUND($G27/$I27*$J27,1),0))</f>
      </c>
      <c r="L27" s="64" t="s">
        <v>235</v>
      </c>
    </row>
    <row r="28" spans="1:12" x14ac:dyDescent="0.25">
      <c r="A28" s="77" t="s">
        <v>75</v>
      </c>
      <c r="B28" s="36" t="s">
        <v>106</v>
      </c>
      <c r="C28" s="63">
        <v>3</v>
      </c>
      <c r="D28" s="79" t="s">
        <v>209</v>
      </c>
      <c r="E28" s="49" t="s">
        <v>210</v>
      </c>
      <c r="F28" s="77" t="s">
        <v>66</v>
      </c>
      <c r="G28" s="72">
        <v>120</v>
      </c>
      <c r="H28" s="63" t="s">
        <v>207</v>
      </c>
      <c r="I28" s="73">
        <v>1</v>
      </c>
      <c r="J28" s="74">
        <f>IF($D28="무료",0,IF($D28="메뉴",0,IF($D28="프렙",IFERROR(VLOOKUP($E28,'② 프렙 원가'!$B$6:$F$16,5,FALSE),0),IFERROR(VLOOKUP($E28,'① 식재료 단가'!$B$6:$G$123,6,FALSE),0))))</f>
      </c>
      <c r="K28" s="75">
        <f>IF($D28="메뉴",ROUND($G28*$J28,1),IF($I28&gt;0,ROUND($G28/$I28*$J28,1),0))</f>
      </c>
      <c r="L28" s="64" t="s">
        <v>66</v>
      </c>
    </row>
    <row r="29" spans="1:12" x14ac:dyDescent="0.25">
      <c r="A29" s="77" t="s">
        <v>75</v>
      </c>
      <c r="B29" s="36" t="s">
        <v>106</v>
      </c>
      <c r="C29" s="63">
        <v>4</v>
      </c>
      <c r="D29" s="78" t="s">
        <v>204</v>
      </c>
      <c r="E29" s="49" t="s">
        <v>236</v>
      </c>
      <c r="F29" s="77" t="s">
        <v>66</v>
      </c>
      <c r="G29" s="72">
        <v>50</v>
      </c>
      <c r="H29" s="63" t="s">
        <v>207</v>
      </c>
      <c r="I29" s="73">
        <v>1</v>
      </c>
      <c r="J29" s="74">
        <f>IF($D29="무료",0,IF($D29="메뉴",0,IF($D29="프렙",IFERROR(VLOOKUP($E29,'② 프렙 원가'!$B$6:$F$16,5,FALSE),0),IFERROR(VLOOKUP($E29,'① 식재료 단가'!$B$6:$G$123,6,FALSE),0))))</f>
      </c>
      <c r="K29" s="75">
        <f>IF($D29="메뉴",ROUND($G29*$J29,1),IF($I29&gt;0,ROUND($G29/$I29*$J29,1),0))</f>
      </c>
      <c r="L29" s="64" t="s">
        <v>237</v>
      </c>
    </row>
    <row r="30" spans="1:12" x14ac:dyDescent="0.25">
      <c r="A30" s="77" t="s">
        <v>75</v>
      </c>
      <c r="B30" s="36" t="s">
        <v>106</v>
      </c>
      <c r="C30" s="63">
        <v>5</v>
      </c>
      <c r="D30" s="78" t="s">
        <v>204</v>
      </c>
      <c r="E30" s="49" t="s">
        <v>217</v>
      </c>
      <c r="F30" s="77" t="s">
        <v>66</v>
      </c>
      <c r="G30" s="72">
        <v>15</v>
      </c>
      <c r="H30" s="63" t="s">
        <v>207</v>
      </c>
      <c r="I30" s="73">
        <v>1</v>
      </c>
      <c r="J30" s="74">
        <f>IF($D30="무료",0,IF($D30="메뉴",0,IF($D30="프렙",IFERROR(VLOOKUP($E30,'② 프렙 원가'!$B$6:$F$16,5,FALSE),0),IFERROR(VLOOKUP($E30,'① 식재료 단가'!$B$6:$G$123,6,FALSE),0))))</f>
      </c>
      <c r="K30" s="75">
        <f>IF($D30="메뉴",ROUND($G30*$J30,1),IF($I30&gt;0,ROUND($G30/$I30*$J30,1),0))</f>
      </c>
      <c r="L30" s="64" t="s">
        <v>66</v>
      </c>
    </row>
    <row r="31" spans="1:12" x14ac:dyDescent="0.25">
      <c r="A31" s="77" t="s">
        <v>75</v>
      </c>
      <c r="B31" s="36" t="s">
        <v>106</v>
      </c>
      <c r="C31" s="63">
        <v>6</v>
      </c>
      <c r="D31" s="78" t="s">
        <v>204</v>
      </c>
      <c r="E31" s="49" t="s">
        <v>216</v>
      </c>
      <c r="F31" s="77" t="s">
        <v>66</v>
      </c>
      <c r="G31" s="72">
        <v>15</v>
      </c>
      <c r="H31" s="63" t="s">
        <v>207</v>
      </c>
      <c r="I31" s="73">
        <v>1</v>
      </c>
      <c r="J31" s="74">
        <f>IF($D31="무료",0,IF($D31="메뉴",0,IF($D31="프렙",IFERROR(VLOOKUP($E31,'② 프렙 원가'!$B$6:$F$16,5,FALSE),0),IFERROR(VLOOKUP($E31,'① 식재료 단가'!$B$6:$G$123,6,FALSE),0))))</f>
      </c>
      <c r="K31" s="75">
        <f>IF($D31="메뉴",ROUND($G31*$J31,1),IF($I31&gt;0,ROUND($G31/$I31*$J31,1),0))</f>
      </c>
      <c r="L31" s="64" t="s">
        <v>66</v>
      </c>
    </row>
    <row r="32" spans="1:12" x14ac:dyDescent="0.25">
      <c r="A32" s="77" t="s">
        <v>75</v>
      </c>
      <c r="B32" s="36" t="s">
        <v>106</v>
      </c>
      <c r="C32" s="63">
        <v>7</v>
      </c>
      <c r="D32" s="78" t="s">
        <v>204</v>
      </c>
      <c r="E32" s="49" t="s">
        <v>238</v>
      </c>
      <c r="F32" s="77" t="s">
        <v>66</v>
      </c>
      <c r="G32" s="72">
        <v>20</v>
      </c>
      <c r="H32" s="63" t="s">
        <v>239</v>
      </c>
      <c r="I32" s="73">
        <v>1</v>
      </c>
      <c r="J32" s="74">
        <f>IF($D32="무료",0,IF($D32="메뉴",0,IF($D32="프렙",IFERROR(VLOOKUP($E32,'② 프렙 원가'!$B$6:$F$16,5,FALSE),0),IFERROR(VLOOKUP($E32,'① 식재료 단가'!$B$6:$G$123,6,FALSE),0))))</f>
      </c>
      <c r="K32" s="75">
        <f>IF($D32="메뉴",ROUND($G32*$J32,1),IF($I32&gt;0,ROUND($G32/$I32*$J32,1),0))</f>
      </c>
      <c r="L32" s="64" t="s">
        <v>240</v>
      </c>
    </row>
    <row r="33" spans="1:12" x14ac:dyDescent="0.25">
      <c r="A33" s="70" t="s">
        <v>75</v>
      </c>
      <c r="B33" s="31" t="s">
        <v>107</v>
      </c>
      <c r="C33" s="53">
        <v>1</v>
      </c>
      <c r="D33" s="71" t="s">
        <v>204</v>
      </c>
      <c r="E33" s="44" t="s">
        <v>222</v>
      </c>
      <c r="F33" s="70" t="s">
        <v>223</v>
      </c>
      <c r="G33" s="72">
        <v>55</v>
      </c>
      <c r="H33" s="53" t="s">
        <v>207</v>
      </c>
      <c r="I33" s="73">
        <v>1</v>
      </c>
      <c r="J33" s="74">
        <f>IF($D33="무료",0,IF($D33="메뉴",0,IF($D33="프렙",IFERROR(VLOOKUP($E33,'② 프렙 원가'!$B$6:$F$16,5,FALSE),0),IFERROR(VLOOKUP($E33,'① 식재료 단가'!$B$6:$G$123,6,FALSE),0))))</f>
      </c>
      <c r="K33" s="75">
        <f>IF($D33="메뉴",ROUND($G33*$J33,1),IF($I33&gt;0,ROUND($G33/$I33*$J33,1),0))</f>
      </c>
      <c r="L33" s="54" t="s">
        <v>230</v>
      </c>
    </row>
    <row r="34" spans="1:12" x14ac:dyDescent="0.25">
      <c r="A34" s="70" t="s">
        <v>75</v>
      </c>
      <c r="B34" s="31" t="s">
        <v>107</v>
      </c>
      <c r="C34" s="53">
        <v>2</v>
      </c>
      <c r="D34" s="76" t="s">
        <v>209</v>
      </c>
      <c r="E34" s="44" t="s">
        <v>210</v>
      </c>
      <c r="F34" s="70" t="s">
        <v>66</v>
      </c>
      <c r="G34" s="72">
        <v>110</v>
      </c>
      <c r="H34" s="53" t="s">
        <v>207</v>
      </c>
      <c r="I34" s="73">
        <v>1</v>
      </c>
      <c r="J34" s="74">
        <f>IF($D34="무료",0,IF($D34="메뉴",0,IF($D34="프렙",IFERROR(VLOOKUP($E34,'② 프렙 원가'!$B$6:$F$16,5,FALSE),0),IFERROR(VLOOKUP($E34,'① 식재료 단가'!$B$6:$G$123,6,FALSE),0))))</f>
      </c>
      <c r="K34" s="75">
        <f>IF($D34="메뉴",ROUND($G34*$J34,1),IF($I34&gt;0,ROUND($G34/$I34*$J34,1),0))</f>
      </c>
      <c r="L34" s="54" t="s">
        <v>211</v>
      </c>
    </row>
    <row r="35" spans="1:12" x14ac:dyDescent="0.25">
      <c r="A35" s="70" t="s">
        <v>75</v>
      </c>
      <c r="B35" s="31" t="s">
        <v>107</v>
      </c>
      <c r="C35" s="53">
        <v>3</v>
      </c>
      <c r="D35" s="71" t="s">
        <v>204</v>
      </c>
      <c r="E35" s="44" t="s">
        <v>232</v>
      </c>
      <c r="F35" s="70" t="s">
        <v>66</v>
      </c>
      <c r="G35" s="72">
        <v>30</v>
      </c>
      <c r="H35" s="53" t="s">
        <v>207</v>
      </c>
      <c r="I35" s="73">
        <v>1</v>
      </c>
      <c r="J35" s="74">
        <f>IF($D35="무료",0,IF($D35="메뉴",0,IF($D35="프렙",IFERROR(VLOOKUP($E35,'② 프렙 원가'!$B$6:$F$16,5,FALSE),0),IFERROR(VLOOKUP($E35,'① 식재료 단가'!$B$6:$G$123,6,FALSE),0))))</f>
      </c>
      <c r="K35" s="75">
        <f>IF($D35="메뉴",ROUND($G35*$J35,1),IF($I35&gt;0,ROUND($G35/$I35*$J35,1),0))</f>
      </c>
      <c r="L35" s="54" t="s">
        <v>233</v>
      </c>
    </row>
    <row r="36" spans="1:12" x14ac:dyDescent="0.25">
      <c r="A36" s="70" t="s">
        <v>75</v>
      </c>
      <c r="B36" s="31" t="s">
        <v>107</v>
      </c>
      <c r="C36" s="53">
        <v>4</v>
      </c>
      <c r="D36" s="71" t="s">
        <v>204</v>
      </c>
      <c r="E36" s="44" t="s">
        <v>241</v>
      </c>
      <c r="F36" s="70" t="s">
        <v>66</v>
      </c>
      <c r="G36" s="72">
        <v>10</v>
      </c>
      <c r="H36" s="53" t="s">
        <v>207</v>
      </c>
      <c r="I36" s="73">
        <v>1</v>
      </c>
      <c r="J36" s="74">
        <f>IF($D36="무료",0,IF($D36="메뉴",0,IF($D36="프렙",IFERROR(VLOOKUP($E36,'② 프렙 원가'!$B$6:$F$16,5,FALSE),0),IFERROR(VLOOKUP($E36,'① 식재료 단가'!$B$6:$G$123,6,FALSE),0))))</f>
      </c>
      <c r="K36" s="75">
        <f>IF($D36="메뉴",ROUND($G36*$J36,1),IF($I36&gt;0,ROUND($G36/$I36*$J36,1),0))</f>
      </c>
      <c r="L36" s="54" t="s">
        <v>242</v>
      </c>
    </row>
    <row r="37" spans="1:12" x14ac:dyDescent="0.25">
      <c r="A37" s="70" t="s">
        <v>75</v>
      </c>
      <c r="B37" s="31" t="s">
        <v>107</v>
      </c>
      <c r="C37" s="53">
        <v>5</v>
      </c>
      <c r="D37" s="71" t="s">
        <v>204</v>
      </c>
      <c r="E37" s="44" t="s">
        <v>243</v>
      </c>
      <c r="F37" s="70" t="s">
        <v>66</v>
      </c>
      <c r="G37" s="72">
        <v>15</v>
      </c>
      <c r="H37" s="53" t="s">
        <v>207</v>
      </c>
      <c r="I37" s="73">
        <v>1</v>
      </c>
      <c r="J37" s="74">
        <f>IF($D37="무료",0,IF($D37="메뉴",0,IF($D37="프렙",IFERROR(VLOOKUP($E37,'② 프렙 원가'!$B$6:$F$16,5,FALSE),0),IFERROR(VLOOKUP($E37,'① 식재료 단가'!$B$6:$G$123,6,FALSE),0))))</f>
      </c>
      <c r="K37" s="75">
        <f>IF($D37="메뉴",ROUND($G37*$J37,1),IF($I37&gt;0,ROUND($G37/$I37*$J37,1),0))</f>
      </c>
      <c r="L37" s="54" t="s">
        <v>244</v>
      </c>
    </row>
    <row r="38" spans="1:12" x14ac:dyDescent="0.25">
      <c r="A38" s="70" t="s">
        <v>75</v>
      </c>
      <c r="B38" s="31" t="s">
        <v>107</v>
      </c>
      <c r="C38" s="53">
        <v>6</v>
      </c>
      <c r="D38" s="71" t="s">
        <v>204</v>
      </c>
      <c r="E38" s="44" t="s">
        <v>245</v>
      </c>
      <c r="F38" s="70" t="s">
        <v>66</v>
      </c>
      <c r="G38" s="72">
        <v>10</v>
      </c>
      <c r="H38" s="53" t="s">
        <v>207</v>
      </c>
      <c r="I38" s="73">
        <v>1</v>
      </c>
      <c r="J38" s="74">
        <f>IF($D38="무료",0,IF($D38="메뉴",0,IF($D38="프렙",IFERROR(VLOOKUP($E38,'② 프렙 원가'!$B$6:$F$16,5,FALSE),0),IFERROR(VLOOKUP($E38,'① 식재료 단가'!$B$6:$G$123,6,FALSE),0))))</f>
      </c>
      <c r="K38" s="75">
        <f>IF($D38="메뉴",ROUND($G38*$J38,1),IF($I38&gt;0,ROUND($G38/$I38*$J38,1),0))</f>
      </c>
      <c r="L38" s="54" t="s">
        <v>66</v>
      </c>
    </row>
    <row r="39" spans="1:12" x14ac:dyDescent="0.25">
      <c r="A39" s="70" t="s">
        <v>75</v>
      </c>
      <c r="B39" s="31" t="s">
        <v>107</v>
      </c>
      <c r="C39" s="53">
        <v>7</v>
      </c>
      <c r="D39" s="71" t="s">
        <v>204</v>
      </c>
      <c r="E39" s="44" t="s">
        <v>216</v>
      </c>
      <c r="F39" s="70" t="s">
        <v>66</v>
      </c>
      <c r="G39" s="72">
        <v>5</v>
      </c>
      <c r="H39" s="53" t="s">
        <v>207</v>
      </c>
      <c r="I39" s="73">
        <v>1</v>
      </c>
      <c r="J39" s="74">
        <f>IF($D39="무료",0,IF($D39="메뉴",0,IF($D39="프렙",IFERROR(VLOOKUP($E39,'② 프렙 원가'!$B$6:$F$16,5,FALSE),0),IFERROR(VLOOKUP($E39,'① 식재료 단가'!$B$6:$G$123,6,FALSE),0))))</f>
      </c>
      <c r="K39" s="75">
        <f>IF($D39="메뉴",ROUND($G39*$J39,1),IF($I39&gt;0,ROUND($G39/$I39*$J39,1),0))</f>
      </c>
      <c r="L39" s="54" t="s">
        <v>66</v>
      </c>
    </row>
    <row r="40" spans="1:12" x14ac:dyDescent="0.25">
      <c r="A40" s="70" t="s">
        <v>75</v>
      </c>
      <c r="B40" s="31" t="s">
        <v>107</v>
      </c>
      <c r="C40" s="53">
        <v>8</v>
      </c>
      <c r="D40" s="71" t="s">
        <v>204</v>
      </c>
      <c r="E40" s="44" t="s">
        <v>215</v>
      </c>
      <c r="F40" s="70" t="s">
        <v>66</v>
      </c>
      <c r="G40" s="72">
        <v>15</v>
      </c>
      <c r="H40" s="53" t="s">
        <v>207</v>
      </c>
      <c r="I40" s="73">
        <v>1</v>
      </c>
      <c r="J40" s="74">
        <f>IF($D40="무료",0,IF($D40="메뉴",0,IF($D40="프렙",IFERROR(VLOOKUP($E40,'② 프렙 원가'!$B$6:$F$16,5,FALSE),0),IFERROR(VLOOKUP($E40,'① 식재료 단가'!$B$6:$G$123,6,FALSE),0))))</f>
      </c>
      <c r="K40" s="75">
        <f>IF($D40="메뉴",ROUND($G40*$J40,1),IF($I40&gt;0,ROUND($G40/$I40*$J40,1),0))</f>
      </c>
      <c r="L40" s="54" t="s">
        <v>66</v>
      </c>
    </row>
    <row r="41" spans="1:12" x14ac:dyDescent="0.25">
      <c r="A41" s="77" t="s">
        <v>75</v>
      </c>
      <c r="B41" s="36" t="s">
        <v>108</v>
      </c>
      <c r="C41" s="63">
        <v>1</v>
      </c>
      <c r="D41" s="78" t="s">
        <v>204</v>
      </c>
      <c r="E41" s="49" t="s">
        <v>222</v>
      </c>
      <c r="F41" s="77" t="s">
        <v>223</v>
      </c>
      <c r="G41" s="72">
        <v>70</v>
      </c>
      <c r="H41" s="63" t="s">
        <v>207</v>
      </c>
      <c r="I41" s="73">
        <v>1</v>
      </c>
      <c r="J41" s="74">
        <f>IF($D41="무료",0,IF($D41="메뉴",0,IF($D41="프렙",IFERROR(VLOOKUP($E41,'② 프렙 원가'!$B$6:$F$16,5,FALSE),0),IFERROR(VLOOKUP($E41,'① 식재료 단가'!$B$6:$G$123,6,FALSE),0))))</f>
      </c>
      <c r="K41" s="75">
        <f>IF($D41="메뉴",ROUND($G41*$J41,1),IF($I41&gt;0,ROUND($G41/$I41*$J41,1),0))</f>
      </c>
      <c r="L41" s="64" t="s">
        <v>230</v>
      </c>
    </row>
    <row r="42" spans="1:12" x14ac:dyDescent="0.25">
      <c r="A42" s="77" t="s">
        <v>75</v>
      </c>
      <c r="B42" s="36" t="s">
        <v>108</v>
      </c>
      <c r="C42" s="63">
        <v>2</v>
      </c>
      <c r="D42" s="79" t="s">
        <v>209</v>
      </c>
      <c r="E42" s="49" t="s">
        <v>210</v>
      </c>
      <c r="F42" s="77" t="s">
        <v>66</v>
      </c>
      <c r="G42" s="72">
        <v>140</v>
      </c>
      <c r="H42" s="63" t="s">
        <v>207</v>
      </c>
      <c r="I42" s="73">
        <v>1</v>
      </c>
      <c r="J42" s="74">
        <f>IF($D42="무료",0,IF($D42="메뉴",0,IF($D42="프렙",IFERROR(VLOOKUP($E42,'② 프렙 원가'!$B$6:$F$16,5,FALSE),0),IFERROR(VLOOKUP($E42,'① 식재료 단가'!$B$6:$G$123,6,FALSE),0))))</f>
      </c>
      <c r="K42" s="75">
        <f>IF($D42="메뉴",ROUND($G42*$J42,1),IF($I42&gt;0,ROUND($G42/$I42*$J42,1),0))</f>
      </c>
      <c r="L42" s="64" t="s">
        <v>66</v>
      </c>
    </row>
    <row r="43" spans="1:12" x14ac:dyDescent="0.25">
      <c r="A43" s="77" t="s">
        <v>75</v>
      </c>
      <c r="B43" s="36" t="s">
        <v>108</v>
      </c>
      <c r="C43" s="63">
        <v>3</v>
      </c>
      <c r="D43" s="78" t="s">
        <v>204</v>
      </c>
      <c r="E43" s="49" t="s">
        <v>246</v>
      </c>
      <c r="F43" s="77" t="s">
        <v>247</v>
      </c>
      <c r="G43" s="72">
        <v>15</v>
      </c>
      <c r="H43" s="63" t="s">
        <v>207</v>
      </c>
      <c r="I43" s="73">
        <v>1</v>
      </c>
      <c r="J43" s="74">
        <f>IF($D43="무료",0,IF($D43="메뉴",0,IF($D43="프렙",IFERROR(VLOOKUP($E43,'② 프렙 원가'!$B$6:$F$16,5,FALSE),0),IFERROR(VLOOKUP($E43,'① 식재료 단가'!$B$6:$G$123,6,FALSE),0))))</f>
      </c>
      <c r="K43" s="75">
        <f>IF($D43="메뉴",ROUND($G43*$J43,1),IF($I43&gt;0,ROUND($G43/$I43*$J43,1),0))</f>
      </c>
      <c r="L43" s="64" t="s">
        <v>66</v>
      </c>
    </row>
    <row r="44" spans="1:12" x14ac:dyDescent="0.25">
      <c r="A44" s="77" t="s">
        <v>75</v>
      </c>
      <c r="B44" s="36" t="s">
        <v>108</v>
      </c>
      <c r="C44" s="63">
        <v>4</v>
      </c>
      <c r="D44" s="78" t="s">
        <v>204</v>
      </c>
      <c r="E44" s="49" t="s">
        <v>248</v>
      </c>
      <c r="F44" s="77" t="s">
        <v>66</v>
      </c>
      <c r="G44" s="72">
        <v>10</v>
      </c>
      <c r="H44" s="63" t="s">
        <v>207</v>
      </c>
      <c r="I44" s="73">
        <v>1</v>
      </c>
      <c r="J44" s="74">
        <f>IF($D44="무료",0,IF($D44="메뉴",0,IF($D44="프렙",IFERROR(VLOOKUP($E44,'② 프렙 원가'!$B$6:$F$16,5,FALSE),0),IFERROR(VLOOKUP($E44,'① 식재료 단가'!$B$6:$G$123,6,FALSE),0))))</f>
      </c>
      <c r="K44" s="75">
        <f>IF($D44="메뉴",ROUND($G44*$J44,1),IF($I44&gt;0,ROUND($G44/$I44*$J44,1),0))</f>
      </c>
      <c r="L44" s="64" t="s">
        <v>66</v>
      </c>
    </row>
    <row r="45" spans="1:12" x14ac:dyDescent="0.25">
      <c r="A45" s="77" t="s">
        <v>75</v>
      </c>
      <c r="B45" s="36" t="s">
        <v>108</v>
      </c>
      <c r="C45" s="63">
        <v>5</v>
      </c>
      <c r="D45" s="78" t="s">
        <v>204</v>
      </c>
      <c r="E45" s="49" t="s">
        <v>249</v>
      </c>
      <c r="F45" s="77" t="s">
        <v>250</v>
      </c>
      <c r="G45" s="72">
        <v>5</v>
      </c>
      <c r="H45" s="63" t="s">
        <v>207</v>
      </c>
      <c r="I45" s="73">
        <v>1</v>
      </c>
      <c r="J45" s="74">
        <f>IF($D45="무료",0,IF($D45="메뉴",0,IF($D45="프렙",IFERROR(VLOOKUP($E45,'② 프렙 원가'!$B$6:$F$16,5,FALSE),0),IFERROR(VLOOKUP($E45,'① 식재료 단가'!$B$6:$G$123,6,FALSE),0))))</f>
      </c>
      <c r="K45" s="75">
        <f>IF($D45="메뉴",ROUND($G45*$J45,1),IF($I45&gt;0,ROUND($G45/$I45*$J45,1),0))</f>
      </c>
      <c r="L45" s="64" t="s">
        <v>66</v>
      </c>
    </row>
    <row r="46" spans="1:12" x14ac:dyDescent="0.25">
      <c r="A46" s="77" t="s">
        <v>75</v>
      </c>
      <c r="B46" s="36" t="s">
        <v>108</v>
      </c>
      <c r="C46" s="63">
        <v>6</v>
      </c>
      <c r="D46" s="78" t="s">
        <v>204</v>
      </c>
      <c r="E46" s="49" t="s">
        <v>216</v>
      </c>
      <c r="F46" s="77" t="s">
        <v>66</v>
      </c>
      <c r="G46" s="72">
        <v>15</v>
      </c>
      <c r="H46" s="63" t="s">
        <v>207</v>
      </c>
      <c r="I46" s="73">
        <v>1</v>
      </c>
      <c r="J46" s="74">
        <f>IF($D46="무료",0,IF($D46="메뉴",0,IF($D46="프렙",IFERROR(VLOOKUP($E46,'② 프렙 원가'!$B$6:$F$16,5,FALSE),0),IFERROR(VLOOKUP($E46,'① 식재료 단가'!$B$6:$G$123,6,FALSE),0))))</f>
      </c>
      <c r="K46" s="75">
        <f>IF($D46="메뉴",ROUND($G46*$J46,1),IF($I46&gt;0,ROUND($G46/$I46*$J46,1),0))</f>
      </c>
      <c r="L46" s="64" t="s">
        <v>66</v>
      </c>
    </row>
    <row r="47" spans="1:12" x14ac:dyDescent="0.25">
      <c r="A47" s="70" t="s">
        <v>75</v>
      </c>
      <c r="B47" s="31" t="s">
        <v>109</v>
      </c>
      <c r="C47" s="53">
        <v>1</v>
      </c>
      <c r="D47" s="71" t="s">
        <v>204</v>
      </c>
      <c r="E47" s="44" t="s">
        <v>222</v>
      </c>
      <c r="F47" s="70" t="s">
        <v>223</v>
      </c>
      <c r="G47" s="72">
        <v>70</v>
      </c>
      <c r="H47" s="53" t="s">
        <v>207</v>
      </c>
      <c r="I47" s="73">
        <v>1</v>
      </c>
      <c r="J47" s="74">
        <f>IF($D47="무료",0,IF($D47="메뉴",0,IF($D47="프렙",IFERROR(VLOOKUP($E47,'② 프렙 원가'!$B$6:$F$16,5,FALSE),0),IFERROR(VLOOKUP($E47,'① 식재료 단가'!$B$6:$G$123,6,FALSE),0))))</f>
      </c>
      <c r="K47" s="75">
        <f>IF($D47="메뉴",ROUND($G47*$J47,1),IF($I47&gt;0,ROUND($G47/$I47*$J47,1),0))</f>
      </c>
      <c r="L47" s="54" t="s">
        <v>230</v>
      </c>
    </row>
    <row r="48" spans="1:12" x14ac:dyDescent="0.25">
      <c r="A48" s="70" t="s">
        <v>75</v>
      </c>
      <c r="B48" s="31" t="s">
        <v>109</v>
      </c>
      <c r="C48" s="53">
        <v>2</v>
      </c>
      <c r="D48" s="76" t="s">
        <v>209</v>
      </c>
      <c r="E48" s="44" t="s">
        <v>210</v>
      </c>
      <c r="F48" s="70" t="s">
        <v>66</v>
      </c>
      <c r="G48" s="72">
        <v>135</v>
      </c>
      <c r="H48" s="53" t="s">
        <v>207</v>
      </c>
      <c r="I48" s="73">
        <v>1</v>
      </c>
      <c r="J48" s="74">
        <f>IF($D48="무료",0,IF($D48="메뉴",0,IF($D48="프렙",IFERROR(VLOOKUP($E48,'② 프렙 원가'!$B$6:$F$16,5,FALSE),0),IFERROR(VLOOKUP($E48,'① 식재료 단가'!$B$6:$G$123,6,FALSE),0))))</f>
      </c>
      <c r="K48" s="75">
        <f>IF($D48="메뉴",ROUND($G48*$J48,1),IF($I48&gt;0,ROUND($G48/$I48*$J48,1),0))</f>
      </c>
      <c r="L48" s="54" t="s">
        <v>211</v>
      </c>
    </row>
    <row r="49" spans="1:12" x14ac:dyDescent="0.25">
      <c r="A49" s="70" t="s">
        <v>75</v>
      </c>
      <c r="B49" s="31" t="s">
        <v>109</v>
      </c>
      <c r="C49" s="53">
        <v>3</v>
      </c>
      <c r="D49" s="71" t="s">
        <v>204</v>
      </c>
      <c r="E49" s="44" t="s">
        <v>251</v>
      </c>
      <c r="F49" s="70" t="s">
        <v>66</v>
      </c>
      <c r="G49" s="72">
        <v>10</v>
      </c>
      <c r="H49" s="53" t="s">
        <v>207</v>
      </c>
      <c r="I49" s="73">
        <v>1</v>
      </c>
      <c r="J49" s="74">
        <f>IF($D49="무료",0,IF($D49="메뉴",0,IF($D49="프렙",IFERROR(VLOOKUP($E49,'② 프렙 원가'!$B$6:$F$16,5,FALSE),0),IFERROR(VLOOKUP($E49,'① 식재료 단가'!$B$6:$G$123,6,FALSE),0))))</f>
      </c>
      <c r="K49" s="75">
        <f>IF($D49="메뉴",ROUND($G49*$J49,1),IF($I49&gt;0,ROUND($G49/$I49*$J49,1),0))</f>
      </c>
      <c r="L49" s="54" t="s">
        <v>252</v>
      </c>
    </row>
    <row r="50" spans="1:12" x14ac:dyDescent="0.25">
      <c r="A50" s="70" t="s">
        <v>75</v>
      </c>
      <c r="B50" s="31" t="s">
        <v>109</v>
      </c>
      <c r="C50" s="53">
        <v>4</v>
      </c>
      <c r="D50" s="71" t="s">
        <v>204</v>
      </c>
      <c r="E50" s="44" t="s">
        <v>253</v>
      </c>
      <c r="F50" s="70" t="s">
        <v>254</v>
      </c>
      <c r="G50" s="72">
        <v>2</v>
      </c>
      <c r="H50" s="53" t="s">
        <v>207</v>
      </c>
      <c r="I50" s="73">
        <v>1</v>
      </c>
      <c r="J50" s="74">
        <f>IF($D50="무료",0,IF($D50="메뉴",0,IF($D50="프렙",IFERROR(VLOOKUP($E50,'② 프렙 원가'!$B$6:$F$16,5,FALSE),0),IFERROR(VLOOKUP($E50,'① 식재료 단가'!$B$6:$G$123,6,FALSE),0))))</f>
      </c>
      <c r="K50" s="75">
        <f>IF($D50="메뉴",ROUND($G50*$J50,1),IF($I50&gt;0,ROUND($G50/$I50*$J50,1),0))</f>
      </c>
      <c r="L50" s="54" t="s">
        <v>255</v>
      </c>
    </row>
    <row r="51" spans="1:12" x14ac:dyDescent="0.25">
      <c r="A51" s="70" t="s">
        <v>75</v>
      </c>
      <c r="B51" s="31" t="s">
        <v>109</v>
      </c>
      <c r="C51" s="53">
        <v>5</v>
      </c>
      <c r="D51" s="71" t="s">
        <v>204</v>
      </c>
      <c r="E51" s="44" t="s">
        <v>215</v>
      </c>
      <c r="F51" s="70" t="s">
        <v>66</v>
      </c>
      <c r="G51" s="72">
        <v>20</v>
      </c>
      <c r="H51" s="53" t="s">
        <v>207</v>
      </c>
      <c r="I51" s="73">
        <v>1</v>
      </c>
      <c r="J51" s="74">
        <f>IF($D51="무료",0,IF($D51="메뉴",0,IF($D51="프렙",IFERROR(VLOOKUP($E51,'② 프렙 원가'!$B$6:$F$16,5,FALSE),0),IFERROR(VLOOKUP($E51,'① 식재료 단가'!$B$6:$G$123,6,FALSE),0))))</f>
      </c>
      <c r="K51" s="75">
        <f>IF($D51="메뉴",ROUND($G51*$J51,1),IF($I51&gt;0,ROUND($G51/$I51*$J51,1),0))</f>
      </c>
      <c r="L51" s="54" t="s">
        <v>66</v>
      </c>
    </row>
    <row r="52" spans="1:12" x14ac:dyDescent="0.25">
      <c r="A52" s="70" t="s">
        <v>75</v>
      </c>
      <c r="B52" s="31" t="s">
        <v>109</v>
      </c>
      <c r="C52" s="53">
        <v>6</v>
      </c>
      <c r="D52" s="71" t="s">
        <v>204</v>
      </c>
      <c r="E52" s="44" t="s">
        <v>216</v>
      </c>
      <c r="F52" s="70" t="s">
        <v>66</v>
      </c>
      <c r="G52" s="72">
        <v>5</v>
      </c>
      <c r="H52" s="53" t="s">
        <v>207</v>
      </c>
      <c r="I52" s="73">
        <v>1</v>
      </c>
      <c r="J52" s="74">
        <f>IF($D52="무료",0,IF($D52="메뉴",0,IF($D52="프렙",IFERROR(VLOOKUP($E52,'② 프렙 원가'!$B$6:$F$16,5,FALSE),0),IFERROR(VLOOKUP($E52,'① 식재료 단가'!$B$6:$G$123,6,FALSE),0))))</f>
      </c>
      <c r="K52" s="75">
        <f>IF($D52="메뉴",ROUND($G52*$J52,1),IF($I52&gt;0,ROUND($G52/$I52*$J52,1),0))</f>
      </c>
      <c r="L52" s="54" t="s">
        <v>256</v>
      </c>
    </row>
    <row r="53" spans="1:12" x14ac:dyDescent="0.25">
      <c r="A53" s="70" t="s">
        <v>75</v>
      </c>
      <c r="B53" s="31" t="s">
        <v>109</v>
      </c>
      <c r="C53" s="53">
        <v>7</v>
      </c>
      <c r="D53" s="71" t="s">
        <v>204</v>
      </c>
      <c r="E53" s="44" t="s">
        <v>238</v>
      </c>
      <c r="F53" s="70" t="s">
        <v>66</v>
      </c>
      <c r="G53" s="72">
        <v>10</v>
      </c>
      <c r="H53" s="53" t="s">
        <v>207</v>
      </c>
      <c r="I53" s="73">
        <v>1</v>
      </c>
      <c r="J53" s="74">
        <f>IF($D53="무료",0,IF($D53="메뉴",0,IF($D53="프렙",IFERROR(VLOOKUP($E53,'② 프렙 원가'!$B$6:$F$16,5,FALSE),0),IFERROR(VLOOKUP($E53,'① 식재료 단가'!$B$6:$G$123,6,FALSE),0))))</f>
      </c>
      <c r="K53" s="75">
        <f>IF($D53="메뉴",ROUND($G53*$J53,1),IF($I53&gt;0,ROUND($G53/$I53*$J53,1),0))</f>
      </c>
      <c r="L53" s="54" t="s">
        <v>257</v>
      </c>
    </row>
    <row r="54" spans="1:12" x14ac:dyDescent="0.25">
      <c r="A54" s="77" t="s">
        <v>75</v>
      </c>
      <c r="B54" s="36" t="s">
        <v>110</v>
      </c>
      <c r="C54" s="63">
        <v>1</v>
      </c>
      <c r="D54" s="78" t="s">
        <v>204</v>
      </c>
      <c r="E54" s="49" t="s">
        <v>222</v>
      </c>
      <c r="F54" s="77" t="s">
        <v>258</v>
      </c>
      <c r="G54" s="72">
        <v>75</v>
      </c>
      <c r="H54" s="63" t="s">
        <v>207</v>
      </c>
      <c r="I54" s="73">
        <v>1</v>
      </c>
      <c r="J54" s="74">
        <f>IF($D54="무료",0,IF($D54="메뉴",0,IF($D54="프렙",IFERROR(VLOOKUP($E54,'② 프렙 원가'!$B$6:$F$16,5,FALSE),0),IFERROR(VLOOKUP($E54,'① 식재료 단가'!$B$6:$G$123,6,FALSE),0))))</f>
      </c>
      <c r="K54" s="75">
        <f>IF($D54="메뉴",ROUND($G54*$J54,1),IF($I54&gt;0,ROUND($G54/$I54*$J54,1),0))</f>
      </c>
      <c r="L54" s="64" t="s">
        <v>230</v>
      </c>
    </row>
    <row r="55" spans="1:12" x14ac:dyDescent="0.25">
      <c r="A55" s="77" t="s">
        <v>75</v>
      </c>
      <c r="B55" s="36" t="s">
        <v>110</v>
      </c>
      <c r="C55" s="63">
        <v>2</v>
      </c>
      <c r="D55" s="79" t="s">
        <v>209</v>
      </c>
      <c r="E55" s="49" t="s">
        <v>210</v>
      </c>
      <c r="F55" s="77" t="s">
        <v>66</v>
      </c>
      <c r="G55" s="72">
        <v>145</v>
      </c>
      <c r="H55" s="63" t="s">
        <v>207</v>
      </c>
      <c r="I55" s="73">
        <v>1</v>
      </c>
      <c r="J55" s="74">
        <f>IF($D55="무료",0,IF($D55="메뉴",0,IF($D55="프렙",IFERROR(VLOOKUP($E55,'② 프렙 원가'!$B$6:$F$16,5,FALSE),0),IFERROR(VLOOKUP($E55,'① 식재료 단가'!$B$6:$G$123,6,FALSE),0))))</f>
      </c>
      <c r="K55" s="75">
        <f>IF($D55="메뉴",ROUND($G55*$J55,1),IF($I55&gt;0,ROUND($G55/$I55*$J55,1),0))</f>
      </c>
      <c r="L55" s="64" t="s">
        <v>66</v>
      </c>
    </row>
    <row r="56" spans="1:12" x14ac:dyDescent="0.25">
      <c r="A56" s="77" t="s">
        <v>75</v>
      </c>
      <c r="B56" s="36" t="s">
        <v>110</v>
      </c>
      <c r="C56" s="63">
        <v>3</v>
      </c>
      <c r="D56" s="78" t="s">
        <v>204</v>
      </c>
      <c r="E56" s="49" t="s">
        <v>215</v>
      </c>
      <c r="F56" s="77" t="s">
        <v>66</v>
      </c>
      <c r="G56" s="72">
        <v>20</v>
      </c>
      <c r="H56" s="63" t="s">
        <v>207</v>
      </c>
      <c r="I56" s="73">
        <v>1</v>
      </c>
      <c r="J56" s="74">
        <f>IF($D56="무료",0,IF($D56="메뉴",0,IF($D56="프렙",IFERROR(VLOOKUP($E56,'② 프렙 원가'!$B$6:$F$16,5,FALSE),0),IFERROR(VLOOKUP($E56,'① 식재료 단가'!$B$6:$G$123,6,FALSE),0))))</f>
      </c>
      <c r="K56" s="75">
        <f>IF($D56="메뉴",ROUND($G56*$J56,1),IF($I56&gt;0,ROUND($G56/$I56*$J56,1),0))</f>
      </c>
      <c r="L56" s="64" t="s">
        <v>66</v>
      </c>
    </row>
    <row r="57" spans="1:12" x14ac:dyDescent="0.25">
      <c r="A57" s="77" t="s">
        <v>75</v>
      </c>
      <c r="B57" s="36" t="s">
        <v>110</v>
      </c>
      <c r="C57" s="63">
        <v>4</v>
      </c>
      <c r="D57" s="78" t="s">
        <v>204</v>
      </c>
      <c r="E57" s="49" t="s">
        <v>216</v>
      </c>
      <c r="F57" s="77" t="s">
        <v>66</v>
      </c>
      <c r="G57" s="72">
        <v>5</v>
      </c>
      <c r="H57" s="63" t="s">
        <v>207</v>
      </c>
      <c r="I57" s="73">
        <v>1</v>
      </c>
      <c r="J57" s="74">
        <f>IF($D57="무료",0,IF($D57="메뉴",0,IF($D57="프렙",IFERROR(VLOOKUP($E57,'② 프렙 원가'!$B$6:$F$16,5,FALSE),0),IFERROR(VLOOKUP($E57,'① 식재료 단가'!$B$6:$G$123,6,FALSE),0))))</f>
      </c>
      <c r="K57" s="75">
        <f>IF($D57="메뉴",ROUND($G57*$J57,1),IF($I57&gt;0,ROUND($G57/$I57*$J57,1),0))</f>
      </c>
      <c r="L57" s="64" t="s">
        <v>66</v>
      </c>
    </row>
    <row r="58" spans="1:12" x14ac:dyDescent="0.25">
      <c r="A58" s="77" t="s">
        <v>75</v>
      </c>
      <c r="B58" s="36" t="s">
        <v>110</v>
      </c>
      <c r="C58" s="63">
        <v>5</v>
      </c>
      <c r="D58" s="78" t="s">
        <v>204</v>
      </c>
      <c r="E58" s="49" t="s">
        <v>212</v>
      </c>
      <c r="F58" s="77" t="s">
        <v>66</v>
      </c>
      <c r="G58" s="72">
        <v>5</v>
      </c>
      <c r="H58" s="63" t="s">
        <v>207</v>
      </c>
      <c r="I58" s="73">
        <v>1</v>
      </c>
      <c r="J58" s="74">
        <f>IF($D58="무료",0,IF($D58="메뉴",0,IF($D58="프렙",IFERROR(VLOOKUP($E58,'② 프렙 원가'!$B$6:$F$16,5,FALSE),0),IFERROR(VLOOKUP($E58,'① 식재료 단가'!$B$6:$G$123,6,FALSE),0))))</f>
      </c>
      <c r="K58" s="75">
        <f>IF($D58="메뉴",ROUND($G58*$J58,1),IF($I58&gt;0,ROUND($G58/$I58*$J58,1),0))</f>
      </c>
      <c r="L58" s="64" t="s">
        <v>66</v>
      </c>
    </row>
    <row r="59" spans="1:12" x14ac:dyDescent="0.25">
      <c r="A59" s="70" t="s">
        <v>75</v>
      </c>
      <c r="B59" s="31" t="s">
        <v>111</v>
      </c>
      <c r="C59" s="53">
        <v>1</v>
      </c>
      <c r="D59" s="71" t="s">
        <v>204</v>
      </c>
      <c r="E59" s="44" t="s">
        <v>222</v>
      </c>
      <c r="F59" s="70" t="s">
        <v>223</v>
      </c>
      <c r="G59" s="72">
        <v>35</v>
      </c>
      <c r="H59" s="53" t="s">
        <v>207</v>
      </c>
      <c r="I59" s="73">
        <v>1</v>
      </c>
      <c r="J59" s="74">
        <f>IF($D59="무료",0,IF($D59="메뉴",0,IF($D59="프렙",IFERROR(VLOOKUP($E59,'② 프렙 원가'!$B$6:$F$16,5,FALSE),0),IFERROR(VLOOKUP($E59,'① 식재료 단가'!$B$6:$G$123,6,FALSE),0))))</f>
      </c>
      <c r="K59" s="75">
        <f>IF($D59="메뉴",ROUND($G59*$J59,1),IF($I59&gt;0,ROUND($G59/$I59*$J59,1),0))</f>
      </c>
      <c r="L59" s="54" t="s">
        <v>259</v>
      </c>
    </row>
    <row r="60" spans="1:12" x14ac:dyDescent="0.25">
      <c r="A60" s="70" t="s">
        <v>75</v>
      </c>
      <c r="B60" s="31" t="s">
        <v>111</v>
      </c>
      <c r="C60" s="53">
        <v>2</v>
      </c>
      <c r="D60" s="76" t="s">
        <v>209</v>
      </c>
      <c r="E60" s="44" t="s">
        <v>260</v>
      </c>
      <c r="F60" s="70" t="s">
        <v>66</v>
      </c>
      <c r="G60" s="72">
        <v>30</v>
      </c>
      <c r="H60" s="53" t="s">
        <v>207</v>
      </c>
      <c r="I60" s="73">
        <v>1</v>
      </c>
      <c r="J60" s="74">
        <f>IF($D60="무료",0,IF($D60="메뉴",0,IF($D60="프렙",IFERROR(VLOOKUP($E60,'② 프렙 원가'!$B$6:$F$16,5,FALSE),0),IFERROR(VLOOKUP($E60,'① 식재료 단가'!$B$6:$G$123,6,FALSE),0))))</f>
      </c>
      <c r="K60" s="75">
        <f>IF($D60="메뉴",ROUND($G60*$J60,1),IF($I60&gt;0,ROUND($G60/$I60*$J60,1),0))</f>
      </c>
      <c r="L60" s="54" t="s">
        <v>261</v>
      </c>
    </row>
    <row r="61" spans="1:12" x14ac:dyDescent="0.25">
      <c r="A61" s="70" t="s">
        <v>75</v>
      </c>
      <c r="B61" s="31" t="s">
        <v>111</v>
      </c>
      <c r="C61" s="53">
        <v>3</v>
      </c>
      <c r="D61" s="76" t="s">
        <v>209</v>
      </c>
      <c r="E61" s="44" t="s">
        <v>210</v>
      </c>
      <c r="F61" s="70" t="s">
        <v>66</v>
      </c>
      <c r="G61" s="72">
        <v>130</v>
      </c>
      <c r="H61" s="53" t="s">
        <v>207</v>
      </c>
      <c r="I61" s="73">
        <v>1</v>
      </c>
      <c r="J61" s="74">
        <f>IF($D61="무료",0,IF($D61="메뉴",0,IF($D61="프렙",IFERROR(VLOOKUP($E61,'② 프렙 원가'!$B$6:$F$16,5,FALSE),0),IFERROR(VLOOKUP($E61,'① 식재료 단가'!$B$6:$G$123,6,FALSE),0))))</f>
      </c>
      <c r="K61" s="75">
        <f>IF($D61="메뉴",ROUND($G61*$J61,1),IF($I61&gt;0,ROUND($G61/$I61*$J61,1),0))</f>
      </c>
      <c r="L61" s="54" t="s">
        <v>211</v>
      </c>
    </row>
    <row r="62" spans="1:12" x14ac:dyDescent="0.25">
      <c r="A62" s="70" t="s">
        <v>75</v>
      </c>
      <c r="B62" s="31" t="s">
        <v>111</v>
      </c>
      <c r="C62" s="53">
        <v>4</v>
      </c>
      <c r="D62" s="71" t="s">
        <v>204</v>
      </c>
      <c r="E62" s="44" t="s">
        <v>243</v>
      </c>
      <c r="F62" s="70" t="s">
        <v>66</v>
      </c>
      <c r="G62" s="72">
        <v>15</v>
      </c>
      <c r="H62" s="53" t="s">
        <v>207</v>
      </c>
      <c r="I62" s="73">
        <v>1</v>
      </c>
      <c r="J62" s="74">
        <f>IF($D62="무료",0,IF($D62="메뉴",0,IF($D62="프렙",IFERROR(VLOOKUP($E62,'② 프렙 원가'!$B$6:$F$16,5,FALSE),0),IFERROR(VLOOKUP($E62,'① 식재료 단가'!$B$6:$G$123,6,FALSE),0))))</f>
      </c>
      <c r="K62" s="75">
        <f>IF($D62="메뉴",ROUND($G62*$J62,1),IF($I62&gt;0,ROUND($G62/$I62*$J62,1),0))</f>
      </c>
      <c r="L62" s="54" t="s">
        <v>244</v>
      </c>
    </row>
    <row r="63" spans="1:12" x14ac:dyDescent="0.25">
      <c r="A63" s="70" t="s">
        <v>75</v>
      </c>
      <c r="B63" s="31" t="s">
        <v>111</v>
      </c>
      <c r="C63" s="53">
        <v>5</v>
      </c>
      <c r="D63" s="71" t="s">
        <v>204</v>
      </c>
      <c r="E63" s="44" t="s">
        <v>241</v>
      </c>
      <c r="F63" s="70" t="s">
        <v>66</v>
      </c>
      <c r="G63" s="72">
        <v>10</v>
      </c>
      <c r="H63" s="53" t="s">
        <v>207</v>
      </c>
      <c r="I63" s="73">
        <v>1</v>
      </c>
      <c r="J63" s="74">
        <f>IF($D63="무료",0,IF($D63="메뉴",0,IF($D63="프렙",IFERROR(VLOOKUP($E63,'② 프렙 원가'!$B$6:$F$16,5,FALSE),0),IFERROR(VLOOKUP($E63,'① 식재료 단가'!$B$6:$G$123,6,FALSE),0))))</f>
      </c>
      <c r="K63" s="75">
        <f>IF($D63="메뉴",ROUND($G63*$J63,1),IF($I63&gt;0,ROUND($G63/$I63*$J63,1),0))</f>
      </c>
      <c r="L63" s="54" t="s">
        <v>242</v>
      </c>
    </row>
    <row r="64" spans="1:12" x14ac:dyDescent="0.25">
      <c r="A64" s="70" t="s">
        <v>75</v>
      </c>
      <c r="B64" s="31" t="s">
        <v>111</v>
      </c>
      <c r="C64" s="53">
        <v>6</v>
      </c>
      <c r="D64" s="71" t="s">
        <v>204</v>
      </c>
      <c r="E64" s="44" t="s">
        <v>262</v>
      </c>
      <c r="F64" s="70" t="s">
        <v>263</v>
      </c>
      <c r="G64" s="72">
        <v>5</v>
      </c>
      <c r="H64" s="53" t="s">
        <v>207</v>
      </c>
      <c r="I64" s="73">
        <v>1</v>
      </c>
      <c r="J64" s="74">
        <f>IF($D64="무료",0,IF($D64="메뉴",0,IF($D64="프렙",IFERROR(VLOOKUP($E64,'② 프렙 원가'!$B$6:$F$16,5,FALSE),0),IFERROR(VLOOKUP($E64,'① 식재료 단가'!$B$6:$G$123,6,FALSE),0))))</f>
      </c>
      <c r="K64" s="75">
        <f>IF($D64="메뉴",ROUND($G64*$J64,1),IF($I64&gt;0,ROUND($G64/$I64*$J64,1),0))</f>
      </c>
      <c r="L64" s="54" t="s">
        <v>66</v>
      </c>
    </row>
    <row r="65" spans="1:12" x14ac:dyDescent="0.25">
      <c r="A65" s="70" t="s">
        <v>75</v>
      </c>
      <c r="B65" s="31" t="s">
        <v>111</v>
      </c>
      <c r="C65" s="53">
        <v>7</v>
      </c>
      <c r="D65" s="71" t="s">
        <v>204</v>
      </c>
      <c r="E65" s="44" t="s">
        <v>215</v>
      </c>
      <c r="F65" s="70" t="s">
        <v>66</v>
      </c>
      <c r="G65" s="72">
        <v>20</v>
      </c>
      <c r="H65" s="53" t="s">
        <v>207</v>
      </c>
      <c r="I65" s="73">
        <v>1</v>
      </c>
      <c r="J65" s="74">
        <f>IF($D65="무료",0,IF($D65="메뉴",0,IF($D65="프렙",IFERROR(VLOOKUP($E65,'② 프렙 원가'!$B$6:$F$16,5,FALSE),0),IFERROR(VLOOKUP($E65,'① 식재료 단가'!$B$6:$G$123,6,FALSE),0))))</f>
      </c>
      <c r="K65" s="75">
        <f>IF($D65="메뉴",ROUND($G65*$J65,1),IF($I65&gt;0,ROUND($G65/$I65*$J65,1),0))</f>
      </c>
      <c r="L65" s="54" t="s">
        <v>66</v>
      </c>
    </row>
    <row r="66" spans="1:12" x14ac:dyDescent="0.25">
      <c r="A66" s="70" t="s">
        <v>75</v>
      </c>
      <c r="B66" s="31" t="s">
        <v>111</v>
      </c>
      <c r="C66" s="53">
        <v>8</v>
      </c>
      <c r="D66" s="71" t="s">
        <v>204</v>
      </c>
      <c r="E66" s="44" t="s">
        <v>216</v>
      </c>
      <c r="F66" s="70" t="s">
        <v>66</v>
      </c>
      <c r="G66" s="72">
        <v>5</v>
      </c>
      <c r="H66" s="53" t="s">
        <v>207</v>
      </c>
      <c r="I66" s="73">
        <v>1</v>
      </c>
      <c r="J66" s="74">
        <f>IF($D66="무료",0,IF($D66="메뉴",0,IF($D66="프렙",IFERROR(VLOOKUP($E66,'② 프렙 원가'!$B$6:$F$16,5,FALSE),0),IFERROR(VLOOKUP($E66,'① 식재료 단가'!$B$6:$G$123,6,FALSE),0))))</f>
      </c>
      <c r="K66" s="75">
        <f>IF($D66="메뉴",ROUND($G66*$J66,1),IF($I66&gt;0,ROUND($G66/$I66*$J66,1),0))</f>
      </c>
      <c r="L66" s="54" t="s">
        <v>66</v>
      </c>
    </row>
    <row r="67" spans="1:12" x14ac:dyDescent="0.25">
      <c r="A67" s="77" t="s">
        <v>75</v>
      </c>
      <c r="B67" s="36" t="s">
        <v>112</v>
      </c>
      <c r="C67" s="63">
        <v>1</v>
      </c>
      <c r="D67" s="78" t="s">
        <v>204</v>
      </c>
      <c r="E67" s="49" t="s">
        <v>222</v>
      </c>
      <c r="F67" s="77" t="s">
        <v>223</v>
      </c>
      <c r="G67" s="72">
        <v>100</v>
      </c>
      <c r="H67" s="63" t="s">
        <v>207</v>
      </c>
      <c r="I67" s="73">
        <v>1</v>
      </c>
      <c r="J67" s="74">
        <f>IF($D67="무료",0,IF($D67="메뉴",0,IF($D67="프렙",IFERROR(VLOOKUP($E67,'② 프렙 원가'!$B$6:$F$16,5,FALSE),0),IFERROR(VLOOKUP($E67,'① 식재료 단가'!$B$6:$G$123,6,FALSE),0))))</f>
      </c>
      <c r="K67" s="75">
        <f>IF($D67="메뉴",ROUND($G67*$J67,1),IF($I67&gt;0,ROUND($G67/$I67*$J67,1),0))</f>
      </c>
      <c r="L67" s="64" t="s">
        <v>259</v>
      </c>
    </row>
    <row r="68" spans="1:12" x14ac:dyDescent="0.25">
      <c r="A68" s="77" t="s">
        <v>75</v>
      </c>
      <c r="B68" s="36" t="s">
        <v>112</v>
      </c>
      <c r="C68" s="63">
        <v>2</v>
      </c>
      <c r="D68" s="79" t="s">
        <v>209</v>
      </c>
      <c r="E68" s="49" t="s">
        <v>210</v>
      </c>
      <c r="F68" s="77" t="s">
        <v>66</v>
      </c>
      <c r="G68" s="72">
        <v>200</v>
      </c>
      <c r="H68" s="63" t="s">
        <v>207</v>
      </c>
      <c r="I68" s="73">
        <v>1</v>
      </c>
      <c r="J68" s="74">
        <f>IF($D68="무료",0,IF($D68="메뉴",0,IF($D68="프렙",IFERROR(VLOOKUP($E68,'② 프렙 원가'!$B$6:$F$16,5,FALSE),0),IFERROR(VLOOKUP($E68,'① 식재료 단가'!$B$6:$G$123,6,FALSE),0))))</f>
      </c>
      <c r="K68" s="75">
        <f>IF($D68="메뉴",ROUND($G68*$J68,1),IF($I68&gt;0,ROUND($G68/$I68*$J68,1),0))</f>
      </c>
      <c r="L68" s="64" t="s">
        <v>264</v>
      </c>
    </row>
    <row r="69" spans="1:12" x14ac:dyDescent="0.25">
      <c r="A69" s="77" t="s">
        <v>75</v>
      </c>
      <c r="B69" s="36" t="s">
        <v>112</v>
      </c>
      <c r="C69" s="63">
        <v>3</v>
      </c>
      <c r="D69" s="79" t="s">
        <v>209</v>
      </c>
      <c r="E69" s="49" t="s">
        <v>265</v>
      </c>
      <c r="F69" s="77" t="s">
        <v>266</v>
      </c>
      <c r="G69" s="72">
        <v>30</v>
      </c>
      <c r="H69" s="63" t="s">
        <v>207</v>
      </c>
      <c r="I69" s="73">
        <v>1</v>
      </c>
      <c r="J69" s="74">
        <f>IF($D69="무료",0,IF($D69="메뉴",0,IF($D69="프렙",IFERROR(VLOOKUP($E69,'② 프렙 원가'!$B$6:$F$16,5,FALSE),0),IFERROR(VLOOKUP($E69,'① 식재료 단가'!$B$6:$G$123,6,FALSE),0))))</f>
      </c>
      <c r="K69" s="75">
        <f>IF($D69="메뉴",ROUND($G69*$J69,1),IF($I69&gt;0,ROUND($G69/$I69*$J69,1),0))</f>
      </c>
      <c r="L69" s="64" t="s">
        <v>267</v>
      </c>
    </row>
    <row r="70" spans="1:12" x14ac:dyDescent="0.25">
      <c r="A70" s="77" t="s">
        <v>75</v>
      </c>
      <c r="B70" s="36" t="s">
        <v>112</v>
      </c>
      <c r="C70" s="63">
        <v>4</v>
      </c>
      <c r="D70" s="78" t="s">
        <v>204</v>
      </c>
      <c r="E70" s="49" t="s">
        <v>268</v>
      </c>
      <c r="F70" s="77" t="s">
        <v>66</v>
      </c>
      <c r="G70" s="72">
        <v>5</v>
      </c>
      <c r="H70" s="63" t="s">
        <v>207</v>
      </c>
      <c r="I70" s="73">
        <v>1</v>
      </c>
      <c r="J70" s="74">
        <f>IF($D70="무료",0,IF($D70="메뉴",0,IF($D70="프렙",IFERROR(VLOOKUP($E70,'② 프렙 원가'!$B$6:$F$16,5,FALSE),0),IFERROR(VLOOKUP($E70,'① 식재료 단가'!$B$6:$G$123,6,FALSE),0))))</f>
      </c>
      <c r="K70" s="75">
        <f>IF($D70="메뉴",ROUND($G70*$J70,1),IF($I70&gt;0,ROUND($G70/$I70*$J70,1),0))</f>
      </c>
      <c r="L70" s="64" t="s">
        <v>255</v>
      </c>
    </row>
    <row r="71" spans="1:12" x14ac:dyDescent="0.25">
      <c r="A71" s="77" t="s">
        <v>75</v>
      </c>
      <c r="B71" s="36" t="s">
        <v>112</v>
      </c>
      <c r="C71" s="63">
        <v>5</v>
      </c>
      <c r="D71" s="78" t="s">
        <v>204</v>
      </c>
      <c r="E71" s="49" t="s">
        <v>253</v>
      </c>
      <c r="F71" s="77" t="s">
        <v>269</v>
      </c>
      <c r="G71" s="72">
        <v>5</v>
      </c>
      <c r="H71" s="63" t="s">
        <v>207</v>
      </c>
      <c r="I71" s="73">
        <v>1</v>
      </c>
      <c r="J71" s="74">
        <f>IF($D71="무료",0,IF($D71="메뉴",0,IF($D71="프렙",IFERROR(VLOOKUP($E71,'② 프렙 원가'!$B$6:$F$16,5,FALSE),0),IFERROR(VLOOKUP($E71,'① 식재료 단가'!$B$6:$G$123,6,FALSE),0))))</f>
      </c>
      <c r="K71" s="75">
        <f>IF($D71="메뉴",ROUND($G71*$J71,1),IF($I71&gt;0,ROUND($G71/$I71*$J71,1),0))</f>
      </c>
      <c r="L71" s="64" t="s">
        <v>255</v>
      </c>
    </row>
    <row r="72" spans="1:12" x14ac:dyDescent="0.25">
      <c r="A72" s="77" t="s">
        <v>75</v>
      </c>
      <c r="B72" s="36" t="s">
        <v>112</v>
      </c>
      <c r="C72" s="63">
        <v>6</v>
      </c>
      <c r="D72" s="78" t="s">
        <v>204</v>
      </c>
      <c r="E72" s="49" t="s">
        <v>217</v>
      </c>
      <c r="F72" s="77" t="s">
        <v>66</v>
      </c>
      <c r="G72" s="72">
        <v>30</v>
      </c>
      <c r="H72" s="63" t="s">
        <v>207</v>
      </c>
      <c r="I72" s="73">
        <v>1</v>
      </c>
      <c r="J72" s="74">
        <f>IF($D72="무료",0,IF($D72="메뉴",0,IF($D72="프렙",IFERROR(VLOOKUP($E72,'② 프렙 원가'!$B$6:$F$16,5,FALSE),0),IFERROR(VLOOKUP($E72,'① 식재료 단가'!$B$6:$G$123,6,FALSE),0))))</f>
      </c>
      <c r="K72" s="75">
        <f>IF($D72="메뉴",ROUND($G72*$J72,1),IF($I72&gt;0,ROUND($G72/$I72*$J72,1),0))</f>
      </c>
      <c r="L72" s="64" t="s">
        <v>218</v>
      </c>
    </row>
    <row r="73" spans="1:12" x14ac:dyDescent="0.25">
      <c r="A73" s="77" t="s">
        <v>75</v>
      </c>
      <c r="B73" s="36" t="s">
        <v>112</v>
      </c>
      <c r="C73" s="63">
        <v>7</v>
      </c>
      <c r="D73" s="78" t="s">
        <v>204</v>
      </c>
      <c r="E73" s="49" t="s">
        <v>216</v>
      </c>
      <c r="F73" s="77" t="s">
        <v>66</v>
      </c>
      <c r="G73" s="72">
        <v>5</v>
      </c>
      <c r="H73" s="63" t="s">
        <v>207</v>
      </c>
      <c r="I73" s="73">
        <v>1</v>
      </c>
      <c r="J73" s="74">
        <f>IF($D73="무료",0,IF($D73="메뉴",0,IF($D73="프렙",IFERROR(VLOOKUP($E73,'② 프렙 원가'!$B$6:$F$16,5,FALSE),0),IFERROR(VLOOKUP($E73,'① 식재료 단가'!$B$6:$G$123,6,FALSE),0))))</f>
      </c>
      <c r="K73" s="75">
        <f>IF($D73="메뉴",ROUND($G73*$J73,1),IF($I73&gt;0,ROUND($G73/$I73*$J73,1),0))</f>
      </c>
      <c r="L73" s="64" t="s">
        <v>66</v>
      </c>
    </row>
    <row r="74" spans="1:12" x14ac:dyDescent="0.25">
      <c r="A74" s="77" t="s">
        <v>75</v>
      </c>
      <c r="B74" s="36" t="s">
        <v>112</v>
      </c>
      <c r="C74" s="63">
        <v>8</v>
      </c>
      <c r="D74" s="78" t="s">
        <v>204</v>
      </c>
      <c r="E74" s="49" t="s">
        <v>215</v>
      </c>
      <c r="F74" s="77" t="s">
        <v>66</v>
      </c>
      <c r="G74" s="72">
        <v>30</v>
      </c>
      <c r="H74" s="63" t="s">
        <v>207</v>
      </c>
      <c r="I74" s="73">
        <v>1</v>
      </c>
      <c r="J74" s="74">
        <f>IF($D74="무료",0,IF($D74="메뉴",0,IF($D74="프렙",IFERROR(VLOOKUP($E74,'② 프렙 원가'!$B$6:$F$16,5,FALSE),0),IFERROR(VLOOKUP($E74,'① 식재료 단가'!$B$6:$G$123,6,FALSE),0))))</f>
      </c>
      <c r="K74" s="75">
        <f>IF($D74="메뉴",ROUND($G74*$J74,1),IF($I74&gt;0,ROUND($G74/$I74*$J74,1),0))</f>
      </c>
      <c r="L74" s="64" t="s">
        <v>66</v>
      </c>
    </row>
    <row r="75" spans="1:12" x14ac:dyDescent="0.25">
      <c r="A75" s="70" t="s">
        <v>75</v>
      </c>
      <c r="B75" s="31" t="s">
        <v>113</v>
      </c>
      <c r="C75" s="53">
        <v>1</v>
      </c>
      <c r="D75" s="71" t="s">
        <v>204</v>
      </c>
      <c r="E75" s="44" t="s">
        <v>222</v>
      </c>
      <c r="F75" s="70" t="s">
        <v>223</v>
      </c>
      <c r="G75" s="72">
        <v>70</v>
      </c>
      <c r="H75" s="53" t="s">
        <v>207</v>
      </c>
      <c r="I75" s="73">
        <v>1</v>
      </c>
      <c r="J75" s="74">
        <f>IF($D75="무료",0,IF($D75="메뉴",0,IF($D75="프렙",IFERROR(VLOOKUP($E75,'② 프렙 원가'!$B$6:$F$16,5,FALSE),0),IFERROR(VLOOKUP($E75,'① 식재료 단가'!$B$6:$G$123,6,FALSE),0))))</f>
      </c>
      <c r="K75" s="75">
        <f>IF($D75="메뉴",ROUND($G75*$J75,1),IF($I75&gt;0,ROUND($G75/$I75*$J75,1),0))</f>
      </c>
      <c r="L75" s="54" t="s">
        <v>230</v>
      </c>
    </row>
    <row r="76" spans="1:12" x14ac:dyDescent="0.25">
      <c r="A76" s="70" t="s">
        <v>75</v>
      </c>
      <c r="B76" s="31" t="s">
        <v>113</v>
      </c>
      <c r="C76" s="53">
        <v>2</v>
      </c>
      <c r="D76" s="76" t="s">
        <v>209</v>
      </c>
      <c r="E76" s="44" t="s">
        <v>210</v>
      </c>
      <c r="F76" s="70" t="s">
        <v>66</v>
      </c>
      <c r="G76" s="72">
        <v>120</v>
      </c>
      <c r="H76" s="53" t="s">
        <v>207</v>
      </c>
      <c r="I76" s="73">
        <v>1</v>
      </c>
      <c r="J76" s="74">
        <f>IF($D76="무료",0,IF($D76="메뉴",0,IF($D76="프렙",IFERROR(VLOOKUP($E76,'② 프렙 원가'!$B$6:$F$16,5,FALSE),0),IFERROR(VLOOKUP($E76,'① 식재료 단가'!$B$6:$G$123,6,FALSE),0))))</f>
      </c>
      <c r="K76" s="75">
        <f>IF($D76="메뉴",ROUND($G76*$J76,1),IF($I76&gt;0,ROUND($G76/$I76*$J76,1),0))</f>
      </c>
      <c r="L76" s="54" t="s">
        <v>66</v>
      </c>
    </row>
    <row r="77" spans="1:12" x14ac:dyDescent="0.25">
      <c r="A77" s="70" t="s">
        <v>75</v>
      </c>
      <c r="B77" s="31" t="s">
        <v>113</v>
      </c>
      <c r="C77" s="53">
        <v>3</v>
      </c>
      <c r="D77" s="71" t="s">
        <v>204</v>
      </c>
      <c r="E77" s="44" t="s">
        <v>270</v>
      </c>
      <c r="F77" s="70" t="s">
        <v>66</v>
      </c>
      <c r="G77" s="72">
        <v>30</v>
      </c>
      <c r="H77" s="53" t="s">
        <v>207</v>
      </c>
      <c r="I77" s="73">
        <v>1</v>
      </c>
      <c r="J77" s="74">
        <f>IF($D77="무료",0,IF($D77="메뉴",0,IF($D77="프렙",IFERROR(VLOOKUP($E77,'② 프렙 원가'!$B$6:$F$16,5,FALSE),0),IFERROR(VLOOKUP($E77,'① 식재료 단가'!$B$6:$G$123,6,FALSE),0))))</f>
      </c>
      <c r="K77" s="75">
        <f>IF($D77="메뉴",ROUND($G77*$J77,1),IF($I77&gt;0,ROUND($G77/$I77*$J77,1),0))</f>
      </c>
      <c r="L77" s="54" t="s">
        <v>271</v>
      </c>
    </row>
    <row r="78" spans="1:12" x14ac:dyDescent="0.25">
      <c r="A78" s="70" t="s">
        <v>75</v>
      </c>
      <c r="B78" s="31" t="s">
        <v>113</v>
      </c>
      <c r="C78" s="53">
        <v>4</v>
      </c>
      <c r="D78" s="71" t="s">
        <v>204</v>
      </c>
      <c r="E78" s="44" t="s">
        <v>241</v>
      </c>
      <c r="F78" s="70" t="s">
        <v>66</v>
      </c>
      <c r="G78" s="72">
        <v>15</v>
      </c>
      <c r="H78" s="53" t="s">
        <v>207</v>
      </c>
      <c r="I78" s="73">
        <v>1</v>
      </c>
      <c r="J78" s="74">
        <f>IF($D78="무료",0,IF($D78="메뉴",0,IF($D78="프렙",IFERROR(VLOOKUP($E78,'② 프렙 원가'!$B$6:$F$16,5,FALSE),0),IFERROR(VLOOKUP($E78,'① 식재료 단가'!$B$6:$G$123,6,FALSE),0))))</f>
      </c>
      <c r="K78" s="75">
        <f>IF($D78="메뉴",ROUND($G78*$J78,1),IF($I78&gt;0,ROUND($G78/$I78*$J78,1),0))</f>
      </c>
      <c r="L78" s="54" t="s">
        <v>272</v>
      </c>
    </row>
    <row r="79" spans="1:12" x14ac:dyDescent="0.25">
      <c r="A79" s="70" t="s">
        <v>75</v>
      </c>
      <c r="B79" s="31" t="s">
        <v>113</v>
      </c>
      <c r="C79" s="53">
        <v>5</v>
      </c>
      <c r="D79" s="71" t="s">
        <v>204</v>
      </c>
      <c r="E79" s="44" t="s">
        <v>273</v>
      </c>
      <c r="F79" s="70" t="s">
        <v>274</v>
      </c>
      <c r="G79" s="72">
        <v>10</v>
      </c>
      <c r="H79" s="53" t="s">
        <v>207</v>
      </c>
      <c r="I79" s="73">
        <v>1</v>
      </c>
      <c r="J79" s="74">
        <f>IF($D79="무료",0,IF($D79="메뉴",0,IF($D79="프렙",IFERROR(VLOOKUP($E79,'② 프렙 원가'!$B$6:$F$16,5,FALSE),0),IFERROR(VLOOKUP($E79,'① 식재료 단가'!$B$6:$G$123,6,FALSE),0))))</f>
      </c>
      <c r="K79" s="75">
        <f>IF($D79="메뉴",ROUND($G79*$J79,1),IF($I79&gt;0,ROUND($G79/$I79*$J79,1),0))</f>
      </c>
      <c r="L79" s="54" t="s">
        <v>66</v>
      </c>
    </row>
    <row r="80" spans="1:12" x14ac:dyDescent="0.25">
      <c r="A80" s="70" t="s">
        <v>75</v>
      </c>
      <c r="B80" s="31" t="s">
        <v>113</v>
      </c>
      <c r="C80" s="53">
        <v>6</v>
      </c>
      <c r="D80" s="71" t="s">
        <v>204</v>
      </c>
      <c r="E80" s="44" t="s">
        <v>275</v>
      </c>
      <c r="F80" s="70" t="s">
        <v>66</v>
      </c>
      <c r="G80" s="72">
        <v>15</v>
      </c>
      <c r="H80" s="53" t="s">
        <v>207</v>
      </c>
      <c r="I80" s="73">
        <v>1</v>
      </c>
      <c r="J80" s="74">
        <f>IF($D80="무료",0,IF($D80="메뉴",0,IF($D80="프렙",IFERROR(VLOOKUP($E80,'② 프렙 원가'!$B$6:$F$16,5,FALSE),0),IFERROR(VLOOKUP($E80,'① 식재료 단가'!$B$6:$G$123,6,FALSE),0))))</f>
      </c>
      <c r="K80" s="75">
        <f>IF($D80="메뉴",ROUND($G80*$J80,1),IF($I80&gt;0,ROUND($G80/$I80*$J80,1),0))</f>
      </c>
      <c r="L80" s="54" t="s">
        <v>66</v>
      </c>
    </row>
    <row r="81" spans="1:12" x14ac:dyDescent="0.25">
      <c r="A81" s="70" t="s">
        <v>75</v>
      </c>
      <c r="B81" s="31" t="s">
        <v>113</v>
      </c>
      <c r="C81" s="53">
        <v>7</v>
      </c>
      <c r="D81" s="71" t="s">
        <v>204</v>
      </c>
      <c r="E81" s="44" t="s">
        <v>276</v>
      </c>
      <c r="F81" s="70" t="s">
        <v>277</v>
      </c>
      <c r="G81" s="72">
        <v>10</v>
      </c>
      <c r="H81" s="53" t="s">
        <v>207</v>
      </c>
      <c r="I81" s="73">
        <v>1</v>
      </c>
      <c r="J81" s="74">
        <f>IF($D81="무료",0,IF($D81="메뉴",0,IF($D81="프렙",IFERROR(VLOOKUP($E81,'② 프렙 원가'!$B$6:$F$16,5,FALSE),0),IFERROR(VLOOKUP($E81,'① 식재료 단가'!$B$6:$G$123,6,FALSE),0))))</f>
      </c>
      <c r="K81" s="75">
        <f>IF($D81="메뉴",ROUND($G81*$J81,1),IF($I81&gt;0,ROUND($G81/$I81*$J81,1),0))</f>
      </c>
      <c r="L81" s="54" t="s">
        <v>66</v>
      </c>
    </row>
    <row r="82" spans="1:12" x14ac:dyDescent="0.25">
      <c r="A82" s="70" t="s">
        <v>75</v>
      </c>
      <c r="B82" s="31" t="s">
        <v>113</v>
      </c>
      <c r="C82" s="53">
        <v>8</v>
      </c>
      <c r="D82" s="71" t="s">
        <v>204</v>
      </c>
      <c r="E82" s="44" t="s">
        <v>246</v>
      </c>
      <c r="F82" s="70" t="s">
        <v>247</v>
      </c>
      <c r="G82" s="72">
        <v>10</v>
      </c>
      <c r="H82" s="53" t="s">
        <v>207</v>
      </c>
      <c r="I82" s="73">
        <v>1</v>
      </c>
      <c r="J82" s="74">
        <f>IF($D82="무료",0,IF($D82="메뉴",0,IF($D82="프렙",IFERROR(VLOOKUP($E82,'② 프렙 원가'!$B$6:$F$16,5,FALSE),0),IFERROR(VLOOKUP($E82,'① 식재료 단가'!$B$6:$G$123,6,FALSE),0))))</f>
      </c>
      <c r="K82" s="75">
        <f>IF($D82="메뉴",ROUND($G82*$J82,1),IF($I82&gt;0,ROUND($G82/$I82*$J82,1),0))</f>
      </c>
      <c r="L82" s="54" t="s">
        <v>66</v>
      </c>
    </row>
    <row r="83" spans="1:12" x14ac:dyDescent="0.25">
      <c r="A83" s="70" t="s">
        <v>75</v>
      </c>
      <c r="B83" s="31" t="s">
        <v>113</v>
      </c>
      <c r="C83" s="53">
        <v>9</v>
      </c>
      <c r="D83" s="71" t="s">
        <v>204</v>
      </c>
      <c r="E83" s="44" t="s">
        <v>215</v>
      </c>
      <c r="F83" s="70" t="s">
        <v>66</v>
      </c>
      <c r="G83" s="72">
        <v>10</v>
      </c>
      <c r="H83" s="53" t="s">
        <v>207</v>
      </c>
      <c r="I83" s="73">
        <v>1</v>
      </c>
      <c r="J83" s="74">
        <f>IF($D83="무료",0,IF($D83="메뉴",0,IF($D83="프렙",IFERROR(VLOOKUP($E83,'② 프렙 원가'!$B$6:$F$16,5,FALSE),0),IFERROR(VLOOKUP($E83,'① 식재료 단가'!$B$6:$G$123,6,FALSE),0))))</f>
      </c>
      <c r="K83" s="75">
        <f>IF($D83="메뉴",ROUND($G83*$J83,1),IF($I83&gt;0,ROUND($G83/$I83*$J83,1),0))</f>
      </c>
      <c r="L83" s="54" t="s">
        <v>66</v>
      </c>
    </row>
    <row r="84" spans="1:12" x14ac:dyDescent="0.25">
      <c r="A84" s="70" t="s">
        <v>75</v>
      </c>
      <c r="B84" s="31" t="s">
        <v>113</v>
      </c>
      <c r="C84" s="53">
        <v>10</v>
      </c>
      <c r="D84" s="71" t="s">
        <v>204</v>
      </c>
      <c r="E84" s="44" t="s">
        <v>216</v>
      </c>
      <c r="F84" s="70" t="s">
        <v>66</v>
      </c>
      <c r="G84" s="72">
        <v>5</v>
      </c>
      <c r="H84" s="53" t="s">
        <v>207</v>
      </c>
      <c r="I84" s="73">
        <v>1</v>
      </c>
      <c r="J84" s="74">
        <f>IF($D84="무료",0,IF($D84="메뉴",0,IF($D84="프렙",IFERROR(VLOOKUP($E84,'② 프렙 원가'!$B$6:$F$16,5,FALSE),0),IFERROR(VLOOKUP($E84,'① 식재료 단가'!$B$6:$G$123,6,FALSE),0))))</f>
      </c>
      <c r="K84" s="75">
        <f>IF($D84="메뉴",ROUND($G84*$J84,1),IF($I84&gt;0,ROUND($G84/$I84*$J84,1),0))</f>
      </c>
      <c r="L84" s="54" t="s">
        <v>66</v>
      </c>
    </row>
    <row r="85" spans="1:12" x14ac:dyDescent="0.25">
      <c r="A85" s="77" t="s">
        <v>76</v>
      </c>
      <c r="B85" s="36" t="s">
        <v>114</v>
      </c>
      <c r="C85" s="63">
        <v>1</v>
      </c>
      <c r="D85" s="78" t="s">
        <v>204</v>
      </c>
      <c r="E85" s="49" t="s">
        <v>278</v>
      </c>
      <c r="F85" s="77" t="s">
        <v>66</v>
      </c>
      <c r="G85" s="72">
        <v>40</v>
      </c>
      <c r="H85" s="63" t="s">
        <v>207</v>
      </c>
      <c r="I85" s="73">
        <v>1</v>
      </c>
      <c r="J85" s="74">
        <f>IF($D85="무료",0,IF($D85="메뉴",0,IF($D85="프렙",IFERROR(VLOOKUP($E85,'② 프렙 원가'!$B$6:$F$16,5,FALSE),0),IFERROR(VLOOKUP($E85,'① 식재료 단가'!$B$6:$G$123,6,FALSE),0))))</f>
      </c>
      <c r="K85" s="75">
        <f>IF($D85="메뉴",ROUND($G85*$J85,1),IF($I85&gt;0,ROUND($G85/$I85*$J85,1),0))</f>
      </c>
      <c r="L85" s="64" t="s">
        <v>230</v>
      </c>
    </row>
    <row r="86" spans="1:12" x14ac:dyDescent="0.25">
      <c r="A86" s="77" t="s">
        <v>76</v>
      </c>
      <c r="B86" s="36" t="s">
        <v>114</v>
      </c>
      <c r="C86" s="63">
        <v>2</v>
      </c>
      <c r="D86" s="79" t="s">
        <v>209</v>
      </c>
      <c r="E86" s="49" t="s">
        <v>210</v>
      </c>
      <c r="F86" s="77" t="s">
        <v>66</v>
      </c>
      <c r="G86" s="72">
        <v>170</v>
      </c>
      <c r="H86" s="63" t="s">
        <v>207</v>
      </c>
      <c r="I86" s="73">
        <v>1</v>
      </c>
      <c r="J86" s="74">
        <f>IF($D86="무료",0,IF($D86="메뉴",0,IF($D86="프렙",IFERROR(VLOOKUP($E86,'② 프렙 원가'!$B$6:$F$16,5,FALSE),0),IFERROR(VLOOKUP($E86,'① 식재료 단가'!$B$6:$G$123,6,FALSE),0))))</f>
      </c>
      <c r="K86" s="75">
        <f>IF($D86="메뉴",ROUND($G86*$J86,1),IF($I86&gt;0,ROUND($G86/$I86*$J86,1),0))</f>
      </c>
      <c r="L86" s="64" t="s">
        <v>66</v>
      </c>
    </row>
    <row r="87" spans="1:12" x14ac:dyDescent="0.25">
      <c r="A87" s="77" t="s">
        <v>76</v>
      </c>
      <c r="B87" s="36" t="s">
        <v>114</v>
      </c>
      <c r="C87" s="63">
        <v>3</v>
      </c>
      <c r="D87" s="78" t="s">
        <v>204</v>
      </c>
      <c r="E87" s="49" t="s">
        <v>279</v>
      </c>
      <c r="F87" s="77" t="s">
        <v>66</v>
      </c>
      <c r="G87" s="72">
        <v>25</v>
      </c>
      <c r="H87" s="63" t="s">
        <v>207</v>
      </c>
      <c r="I87" s="73">
        <v>1</v>
      </c>
      <c r="J87" s="74">
        <f>IF($D87="무료",0,IF($D87="메뉴",0,IF($D87="프렙",IFERROR(VLOOKUP($E87,'② 프렙 원가'!$B$6:$F$16,5,FALSE),0),IFERROR(VLOOKUP($E87,'① 식재료 단가'!$B$6:$G$123,6,FALSE),0))))</f>
      </c>
      <c r="K87" s="75">
        <f>IF($D87="메뉴",ROUND($G87*$J87,1),IF($I87&gt;0,ROUND($G87/$I87*$J87,1),0))</f>
      </c>
      <c r="L87" s="64" t="s">
        <v>280</v>
      </c>
    </row>
    <row r="88" spans="1:12" x14ac:dyDescent="0.25">
      <c r="A88" s="77" t="s">
        <v>76</v>
      </c>
      <c r="B88" s="36" t="s">
        <v>114</v>
      </c>
      <c r="C88" s="63">
        <v>4</v>
      </c>
      <c r="D88" s="78" t="s">
        <v>204</v>
      </c>
      <c r="E88" s="49" t="s">
        <v>216</v>
      </c>
      <c r="F88" s="77" t="s">
        <v>66</v>
      </c>
      <c r="G88" s="72">
        <v>5</v>
      </c>
      <c r="H88" s="63" t="s">
        <v>207</v>
      </c>
      <c r="I88" s="73">
        <v>1</v>
      </c>
      <c r="J88" s="74">
        <f>IF($D88="무료",0,IF($D88="메뉴",0,IF($D88="프렙",IFERROR(VLOOKUP($E88,'② 프렙 원가'!$B$6:$F$16,5,FALSE),0),IFERROR(VLOOKUP($E88,'① 식재료 단가'!$B$6:$G$123,6,FALSE),0))))</f>
      </c>
      <c r="K88" s="75">
        <f>IF($D88="메뉴",ROUND($G88*$J88,1),IF($I88&gt;0,ROUND($G88/$I88*$J88,1),0))</f>
      </c>
      <c r="L88" s="64" t="s">
        <v>66</v>
      </c>
    </row>
    <row r="89" spans="1:12" x14ac:dyDescent="0.25">
      <c r="A89" s="77" t="s">
        <v>76</v>
      </c>
      <c r="B89" s="36" t="s">
        <v>114</v>
      </c>
      <c r="C89" s="63">
        <v>5</v>
      </c>
      <c r="D89" s="78" t="s">
        <v>204</v>
      </c>
      <c r="E89" s="49" t="s">
        <v>215</v>
      </c>
      <c r="F89" s="77" t="s">
        <v>66</v>
      </c>
      <c r="G89" s="72">
        <v>10</v>
      </c>
      <c r="H89" s="63" t="s">
        <v>207</v>
      </c>
      <c r="I89" s="73">
        <v>1</v>
      </c>
      <c r="J89" s="74">
        <f>IF($D89="무료",0,IF($D89="메뉴",0,IF($D89="프렙",IFERROR(VLOOKUP($E89,'② 프렙 원가'!$B$6:$F$16,5,FALSE),0),IFERROR(VLOOKUP($E89,'① 식재료 단가'!$B$6:$G$123,6,FALSE),0))))</f>
      </c>
      <c r="K89" s="75">
        <f>IF($D89="메뉴",ROUND($G89*$J89,1),IF($I89&gt;0,ROUND($G89/$I89*$J89,1),0))</f>
      </c>
      <c r="L89" s="64" t="s">
        <v>66</v>
      </c>
    </row>
    <row r="90" spans="1:12" x14ac:dyDescent="0.25">
      <c r="A90" s="70" t="s">
        <v>76</v>
      </c>
      <c r="B90" s="31" t="s">
        <v>115</v>
      </c>
      <c r="C90" s="53">
        <v>1</v>
      </c>
      <c r="D90" s="71" t="s">
        <v>204</v>
      </c>
      <c r="E90" s="44" t="s">
        <v>278</v>
      </c>
      <c r="F90" s="70" t="s">
        <v>66</v>
      </c>
      <c r="G90" s="72">
        <v>40</v>
      </c>
      <c r="H90" s="53" t="s">
        <v>207</v>
      </c>
      <c r="I90" s="73">
        <v>1</v>
      </c>
      <c r="J90" s="74">
        <f>IF($D90="무료",0,IF($D90="메뉴",0,IF($D90="프렙",IFERROR(VLOOKUP($E90,'② 프렙 원가'!$B$6:$F$16,5,FALSE),0),IFERROR(VLOOKUP($E90,'① 식재료 단가'!$B$6:$G$123,6,FALSE),0))))</f>
      </c>
      <c r="K90" s="75">
        <f>IF($D90="메뉴",ROUND($G90*$J90,1),IF($I90&gt;0,ROUND($G90/$I90*$J90,1),0))</f>
      </c>
      <c r="L90" s="54" t="s">
        <v>230</v>
      </c>
    </row>
    <row r="91" spans="1:12" x14ac:dyDescent="0.25">
      <c r="A91" s="70" t="s">
        <v>76</v>
      </c>
      <c r="B91" s="31" t="s">
        <v>115</v>
      </c>
      <c r="C91" s="53">
        <v>2</v>
      </c>
      <c r="D91" s="76" t="s">
        <v>209</v>
      </c>
      <c r="E91" s="44" t="s">
        <v>210</v>
      </c>
      <c r="F91" s="70" t="s">
        <v>66</v>
      </c>
      <c r="G91" s="72">
        <v>150</v>
      </c>
      <c r="H91" s="53" t="s">
        <v>207</v>
      </c>
      <c r="I91" s="73">
        <v>1</v>
      </c>
      <c r="J91" s="74">
        <f>IF($D91="무료",0,IF($D91="메뉴",0,IF($D91="프렙",IFERROR(VLOOKUP($E91,'② 프렙 원가'!$B$6:$F$16,5,FALSE),0),IFERROR(VLOOKUP($E91,'① 식재료 단가'!$B$6:$G$123,6,FALSE),0))))</f>
      </c>
      <c r="K91" s="75">
        <f>IF($D91="메뉴",ROUND($G91*$J91,1),IF($I91&gt;0,ROUND($G91/$I91*$J91,1),0))</f>
      </c>
      <c r="L91" s="54" t="s">
        <v>66</v>
      </c>
    </row>
    <row r="92" spans="1:12" x14ac:dyDescent="0.25">
      <c r="A92" s="70" t="s">
        <v>76</v>
      </c>
      <c r="B92" s="31" t="s">
        <v>115</v>
      </c>
      <c r="C92" s="53">
        <v>3</v>
      </c>
      <c r="D92" s="71" t="s">
        <v>204</v>
      </c>
      <c r="E92" s="44" t="s">
        <v>243</v>
      </c>
      <c r="F92" s="70" t="s">
        <v>66</v>
      </c>
      <c r="G92" s="72">
        <v>15</v>
      </c>
      <c r="H92" s="53" t="s">
        <v>207</v>
      </c>
      <c r="I92" s="73">
        <v>1</v>
      </c>
      <c r="J92" s="74">
        <f>IF($D92="무료",0,IF($D92="메뉴",0,IF($D92="프렙",IFERROR(VLOOKUP($E92,'② 프렙 원가'!$B$6:$F$16,5,FALSE),0),IFERROR(VLOOKUP($E92,'① 식재료 단가'!$B$6:$G$123,6,FALSE),0))))</f>
      </c>
      <c r="K92" s="75">
        <f>IF($D92="메뉴",ROUND($G92*$J92,1),IF($I92&gt;0,ROUND($G92/$I92*$J92,1),0))</f>
      </c>
      <c r="L92" s="54" t="s">
        <v>244</v>
      </c>
    </row>
    <row r="93" spans="1:12" x14ac:dyDescent="0.25">
      <c r="A93" s="70" t="s">
        <v>76</v>
      </c>
      <c r="B93" s="31" t="s">
        <v>115</v>
      </c>
      <c r="C93" s="53">
        <v>4</v>
      </c>
      <c r="D93" s="71" t="s">
        <v>204</v>
      </c>
      <c r="E93" s="44" t="s">
        <v>241</v>
      </c>
      <c r="F93" s="70" t="s">
        <v>66</v>
      </c>
      <c r="G93" s="72">
        <v>10</v>
      </c>
      <c r="H93" s="53" t="s">
        <v>207</v>
      </c>
      <c r="I93" s="73">
        <v>1</v>
      </c>
      <c r="J93" s="74">
        <f>IF($D93="무료",0,IF($D93="메뉴",0,IF($D93="프렙",IFERROR(VLOOKUP($E93,'② 프렙 원가'!$B$6:$F$16,5,FALSE),0),IFERROR(VLOOKUP($E93,'① 식재료 단가'!$B$6:$G$123,6,FALSE),0))))</f>
      </c>
      <c r="K93" s="75">
        <f>IF($D93="메뉴",ROUND($G93*$J93,1),IF($I93&gt;0,ROUND($G93/$I93*$J93,1),0))</f>
      </c>
      <c r="L93" s="54" t="s">
        <v>242</v>
      </c>
    </row>
    <row r="94" spans="1:12" x14ac:dyDescent="0.25">
      <c r="A94" s="70" t="s">
        <v>76</v>
      </c>
      <c r="B94" s="31" t="s">
        <v>115</v>
      </c>
      <c r="C94" s="53">
        <v>5</v>
      </c>
      <c r="D94" s="71" t="s">
        <v>204</v>
      </c>
      <c r="E94" s="44" t="s">
        <v>245</v>
      </c>
      <c r="F94" s="70" t="s">
        <v>66</v>
      </c>
      <c r="G94" s="72">
        <v>10</v>
      </c>
      <c r="H94" s="53" t="s">
        <v>207</v>
      </c>
      <c r="I94" s="73">
        <v>1</v>
      </c>
      <c r="J94" s="74">
        <f>IF($D94="무료",0,IF($D94="메뉴",0,IF($D94="프렙",IFERROR(VLOOKUP($E94,'② 프렙 원가'!$B$6:$F$16,5,FALSE),0),IFERROR(VLOOKUP($E94,'① 식재료 단가'!$B$6:$G$123,6,FALSE),0))))</f>
      </c>
      <c r="K94" s="75">
        <f>IF($D94="메뉴",ROUND($G94*$J94,1),IF($I94&gt;0,ROUND($G94/$I94*$J94,1),0))</f>
      </c>
      <c r="L94" s="54" t="s">
        <v>66</v>
      </c>
    </row>
    <row r="95" spans="1:12" x14ac:dyDescent="0.25">
      <c r="A95" s="70" t="s">
        <v>76</v>
      </c>
      <c r="B95" s="31" t="s">
        <v>115</v>
      </c>
      <c r="C95" s="53">
        <v>6</v>
      </c>
      <c r="D95" s="71" t="s">
        <v>204</v>
      </c>
      <c r="E95" s="44" t="s">
        <v>215</v>
      </c>
      <c r="F95" s="70" t="s">
        <v>66</v>
      </c>
      <c r="G95" s="72">
        <v>20</v>
      </c>
      <c r="H95" s="53" t="s">
        <v>207</v>
      </c>
      <c r="I95" s="73">
        <v>1</v>
      </c>
      <c r="J95" s="74">
        <f>IF($D95="무료",0,IF($D95="메뉴",0,IF($D95="프렙",IFERROR(VLOOKUP($E95,'② 프렙 원가'!$B$6:$F$16,5,FALSE),0),IFERROR(VLOOKUP($E95,'① 식재료 단가'!$B$6:$G$123,6,FALSE),0))))</f>
      </c>
      <c r="K95" s="75">
        <f>IF($D95="메뉴",ROUND($G95*$J95,1),IF($I95&gt;0,ROUND($G95/$I95*$J95,1),0))</f>
      </c>
      <c r="L95" s="54" t="s">
        <v>66</v>
      </c>
    </row>
    <row r="96" spans="1:12" x14ac:dyDescent="0.25">
      <c r="A96" s="70" t="s">
        <v>76</v>
      </c>
      <c r="B96" s="31" t="s">
        <v>115</v>
      </c>
      <c r="C96" s="53">
        <v>7</v>
      </c>
      <c r="D96" s="71" t="s">
        <v>204</v>
      </c>
      <c r="E96" s="44" t="s">
        <v>216</v>
      </c>
      <c r="F96" s="70" t="s">
        <v>66</v>
      </c>
      <c r="G96" s="72">
        <v>5</v>
      </c>
      <c r="H96" s="53" t="s">
        <v>207</v>
      </c>
      <c r="I96" s="73">
        <v>1</v>
      </c>
      <c r="J96" s="74">
        <f>IF($D96="무료",0,IF($D96="메뉴",0,IF($D96="프렙",IFERROR(VLOOKUP($E96,'② 프렙 원가'!$B$6:$F$16,5,FALSE),0),IFERROR(VLOOKUP($E96,'① 식재료 단가'!$B$6:$G$123,6,FALSE),0))))</f>
      </c>
      <c r="K96" s="75">
        <f>IF($D96="메뉴",ROUND($G96*$J96,1),IF($I96&gt;0,ROUND($G96/$I96*$J96,1),0))</f>
      </c>
      <c r="L96" s="54" t="s">
        <v>66</v>
      </c>
    </row>
    <row r="97" spans="1:12" x14ac:dyDescent="0.25">
      <c r="A97" s="77" t="s">
        <v>76</v>
      </c>
      <c r="B97" s="36" t="s">
        <v>116</v>
      </c>
      <c r="C97" s="63">
        <v>1</v>
      </c>
      <c r="D97" s="78" t="s">
        <v>204</v>
      </c>
      <c r="E97" s="49" t="s">
        <v>278</v>
      </c>
      <c r="F97" s="77" t="s">
        <v>66</v>
      </c>
      <c r="G97" s="72">
        <v>40</v>
      </c>
      <c r="H97" s="63" t="s">
        <v>207</v>
      </c>
      <c r="I97" s="73">
        <v>1</v>
      </c>
      <c r="J97" s="74">
        <f>IF($D97="무료",0,IF($D97="메뉴",0,IF($D97="프렙",IFERROR(VLOOKUP($E97,'② 프렙 원가'!$B$6:$F$16,5,FALSE),0),IFERROR(VLOOKUP($E97,'① 식재료 단가'!$B$6:$G$123,6,FALSE),0))))</f>
      </c>
      <c r="K97" s="75">
        <f>IF($D97="메뉴",ROUND($G97*$J97,1),IF($I97&gt;0,ROUND($G97/$I97*$J97,1),0))</f>
      </c>
      <c r="L97" s="64" t="s">
        <v>230</v>
      </c>
    </row>
    <row r="98" spans="1:12" x14ac:dyDescent="0.25">
      <c r="A98" s="77" t="s">
        <v>76</v>
      </c>
      <c r="B98" s="36" t="s">
        <v>116</v>
      </c>
      <c r="C98" s="63">
        <v>2</v>
      </c>
      <c r="D98" s="79" t="s">
        <v>209</v>
      </c>
      <c r="E98" s="49" t="s">
        <v>210</v>
      </c>
      <c r="F98" s="77" t="s">
        <v>66</v>
      </c>
      <c r="G98" s="72">
        <v>155</v>
      </c>
      <c r="H98" s="63" t="s">
        <v>207</v>
      </c>
      <c r="I98" s="73">
        <v>1</v>
      </c>
      <c r="J98" s="74">
        <f>IF($D98="무료",0,IF($D98="메뉴",0,IF($D98="프렙",IFERROR(VLOOKUP($E98,'② 프렙 원가'!$B$6:$F$16,5,FALSE),0),IFERROR(VLOOKUP($E98,'① 식재료 단가'!$B$6:$G$123,6,FALSE),0))))</f>
      </c>
      <c r="K98" s="75">
        <f>IF($D98="메뉴",ROUND($G98*$J98,1),IF($I98&gt;0,ROUND($G98/$I98*$J98,1),0))</f>
      </c>
      <c r="L98" s="64" t="s">
        <v>66</v>
      </c>
    </row>
    <row r="99" spans="1:12" x14ac:dyDescent="0.25">
      <c r="A99" s="77" t="s">
        <v>76</v>
      </c>
      <c r="B99" s="36" t="s">
        <v>116</v>
      </c>
      <c r="C99" s="63">
        <v>3</v>
      </c>
      <c r="D99" s="78" t="s">
        <v>204</v>
      </c>
      <c r="E99" s="49" t="s">
        <v>248</v>
      </c>
      <c r="F99" s="77" t="s">
        <v>66</v>
      </c>
      <c r="G99" s="72">
        <v>10</v>
      </c>
      <c r="H99" s="63" t="s">
        <v>207</v>
      </c>
      <c r="I99" s="73">
        <v>1</v>
      </c>
      <c r="J99" s="74">
        <f>IF($D99="무료",0,IF($D99="메뉴",0,IF($D99="프렙",IFERROR(VLOOKUP($E99,'② 프렙 원가'!$B$6:$F$16,5,FALSE),0),IFERROR(VLOOKUP($E99,'① 식재료 단가'!$B$6:$G$123,6,FALSE),0))))</f>
      </c>
      <c r="K99" s="75">
        <f>IF($D99="메뉴",ROUND($G99*$J99,1),IF($I99&gt;0,ROUND($G99/$I99*$J99,1),0))</f>
      </c>
      <c r="L99" s="64" t="s">
        <v>66</v>
      </c>
    </row>
    <row r="100" spans="1:12" x14ac:dyDescent="0.25">
      <c r="A100" s="77" t="s">
        <v>76</v>
      </c>
      <c r="B100" s="36" t="s">
        <v>116</v>
      </c>
      <c r="C100" s="63">
        <v>4</v>
      </c>
      <c r="D100" s="78" t="s">
        <v>204</v>
      </c>
      <c r="E100" s="49" t="s">
        <v>246</v>
      </c>
      <c r="F100" s="77" t="s">
        <v>247</v>
      </c>
      <c r="G100" s="72">
        <v>15</v>
      </c>
      <c r="H100" s="63" t="s">
        <v>207</v>
      </c>
      <c r="I100" s="73">
        <v>1</v>
      </c>
      <c r="J100" s="74">
        <f>IF($D100="무료",0,IF($D100="메뉴",0,IF($D100="프렙",IFERROR(VLOOKUP($E100,'② 프렙 원가'!$B$6:$F$16,5,FALSE),0),IFERROR(VLOOKUP($E100,'① 식재료 단가'!$B$6:$G$123,6,FALSE),0))))</f>
      </c>
      <c r="K100" s="75">
        <f>IF($D100="메뉴",ROUND($G100*$J100,1),IF($I100&gt;0,ROUND($G100/$I100*$J100,1),0))</f>
      </c>
      <c r="L100" s="64" t="s">
        <v>281</v>
      </c>
    </row>
    <row r="101" spans="1:12" x14ac:dyDescent="0.25">
      <c r="A101" s="77" t="s">
        <v>76</v>
      </c>
      <c r="B101" s="36" t="s">
        <v>116</v>
      </c>
      <c r="C101" s="63">
        <v>5</v>
      </c>
      <c r="D101" s="78" t="s">
        <v>204</v>
      </c>
      <c r="E101" s="49" t="s">
        <v>249</v>
      </c>
      <c r="F101" s="77" t="s">
        <v>66</v>
      </c>
      <c r="G101" s="72">
        <v>5</v>
      </c>
      <c r="H101" s="63" t="s">
        <v>207</v>
      </c>
      <c r="I101" s="73">
        <v>1</v>
      </c>
      <c r="J101" s="74">
        <f>IF($D101="무료",0,IF($D101="메뉴",0,IF($D101="프렙",IFERROR(VLOOKUP($E101,'② 프렙 원가'!$B$6:$F$16,5,FALSE),0),IFERROR(VLOOKUP($E101,'① 식재료 단가'!$B$6:$G$123,6,FALSE),0))))</f>
      </c>
      <c r="K101" s="75">
        <f>IF($D101="메뉴",ROUND($G101*$J101,1),IF($I101&gt;0,ROUND($G101/$I101*$J101,1),0))</f>
      </c>
      <c r="L101" s="64" t="s">
        <v>282</v>
      </c>
    </row>
    <row r="102" spans="1:12" x14ac:dyDescent="0.25">
      <c r="A102" s="77" t="s">
        <v>76</v>
      </c>
      <c r="B102" s="36" t="s">
        <v>116</v>
      </c>
      <c r="C102" s="63">
        <v>6</v>
      </c>
      <c r="D102" s="78" t="s">
        <v>204</v>
      </c>
      <c r="E102" s="49" t="s">
        <v>216</v>
      </c>
      <c r="F102" s="77" t="s">
        <v>66</v>
      </c>
      <c r="G102" s="72">
        <v>15</v>
      </c>
      <c r="H102" s="63" t="s">
        <v>207</v>
      </c>
      <c r="I102" s="73">
        <v>1</v>
      </c>
      <c r="J102" s="74">
        <f>IF($D102="무료",0,IF($D102="메뉴",0,IF($D102="프렙",IFERROR(VLOOKUP($E102,'② 프렙 원가'!$B$6:$F$16,5,FALSE),0),IFERROR(VLOOKUP($E102,'① 식재료 단가'!$B$6:$G$123,6,FALSE),0))))</f>
      </c>
      <c r="K102" s="75">
        <f>IF($D102="메뉴",ROUND($G102*$J102,1),IF($I102&gt;0,ROUND($G102/$I102*$J102,1),0))</f>
      </c>
      <c r="L102" s="64" t="s">
        <v>66</v>
      </c>
    </row>
    <row r="103" spans="1:12" x14ac:dyDescent="0.25">
      <c r="A103" s="70" t="s">
        <v>76</v>
      </c>
      <c r="B103" s="31" t="s">
        <v>117</v>
      </c>
      <c r="C103" s="53">
        <v>1</v>
      </c>
      <c r="D103" s="71" t="s">
        <v>204</v>
      </c>
      <c r="E103" s="44" t="s">
        <v>278</v>
      </c>
      <c r="F103" s="70" t="s">
        <v>66</v>
      </c>
      <c r="G103" s="72">
        <v>40</v>
      </c>
      <c r="H103" s="53" t="s">
        <v>207</v>
      </c>
      <c r="I103" s="73">
        <v>1</v>
      </c>
      <c r="J103" s="74">
        <f>IF($D103="무료",0,IF($D103="메뉴",0,IF($D103="프렙",IFERROR(VLOOKUP($E103,'② 프렙 원가'!$B$6:$F$16,5,FALSE),0),IFERROR(VLOOKUP($E103,'① 식재료 단가'!$B$6:$G$123,6,FALSE),0))))</f>
      </c>
      <c r="K103" s="75">
        <f>IF($D103="메뉴",ROUND($G103*$J103,1),IF($I103&gt;0,ROUND($G103/$I103*$J103,1),0))</f>
      </c>
      <c r="L103" s="54" t="s">
        <v>230</v>
      </c>
    </row>
    <row r="104" spans="1:12" x14ac:dyDescent="0.25">
      <c r="A104" s="70" t="s">
        <v>76</v>
      </c>
      <c r="B104" s="31" t="s">
        <v>117</v>
      </c>
      <c r="C104" s="53">
        <v>2</v>
      </c>
      <c r="D104" s="71" t="s">
        <v>204</v>
      </c>
      <c r="E104" s="44" t="s">
        <v>283</v>
      </c>
      <c r="F104" s="70" t="s">
        <v>284</v>
      </c>
      <c r="G104" s="72">
        <v>20</v>
      </c>
      <c r="H104" s="53" t="s">
        <v>207</v>
      </c>
      <c r="I104" s="73">
        <v>1</v>
      </c>
      <c r="J104" s="74">
        <f>IF($D104="무료",0,IF($D104="메뉴",0,IF($D104="프렙",IFERROR(VLOOKUP($E104,'② 프렙 원가'!$B$6:$F$16,5,FALSE),0),IFERROR(VLOOKUP($E104,'① 식재료 단가'!$B$6:$G$123,6,FALSE),0))))</f>
      </c>
      <c r="K104" s="75">
        <f>IF($D104="메뉴",ROUND($G104*$J104,1),IF($I104&gt;0,ROUND($G104/$I104*$J104,1),0))</f>
      </c>
      <c r="L104" s="54" t="s">
        <v>285</v>
      </c>
    </row>
    <row r="105" spans="1:12" x14ac:dyDescent="0.25">
      <c r="A105" s="70" t="s">
        <v>76</v>
      </c>
      <c r="B105" s="31" t="s">
        <v>117</v>
      </c>
      <c r="C105" s="53">
        <v>3</v>
      </c>
      <c r="D105" s="71" t="s">
        <v>204</v>
      </c>
      <c r="E105" s="44" t="s">
        <v>279</v>
      </c>
      <c r="F105" s="70" t="s">
        <v>66</v>
      </c>
      <c r="G105" s="72">
        <v>10</v>
      </c>
      <c r="H105" s="53" t="s">
        <v>207</v>
      </c>
      <c r="I105" s="73">
        <v>1</v>
      </c>
      <c r="J105" s="74">
        <f>IF($D105="무료",0,IF($D105="메뉴",0,IF($D105="프렙",IFERROR(VLOOKUP($E105,'② 프렙 원가'!$B$6:$F$16,5,FALSE),0),IFERROR(VLOOKUP($E105,'① 식재료 단가'!$B$6:$G$123,6,FALSE),0))))</f>
      </c>
      <c r="K105" s="75">
        <f>IF($D105="메뉴",ROUND($G105*$J105,1),IF($I105&gt;0,ROUND($G105/$I105*$J105,1),0))</f>
      </c>
      <c r="L105" s="54" t="s">
        <v>286</v>
      </c>
    </row>
    <row r="106" spans="1:12" x14ac:dyDescent="0.25">
      <c r="A106" s="70" t="s">
        <v>76</v>
      </c>
      <c r="B106" s="31" t="s">
        <v>117</v>
      </c>
      <c r="C106" s="53">
        <v>4</v>
      </c>
      <c r="D106" s="71" t="s">
        <v>204</v>
      </c>
      <c r="E106" s="44" t="s">
        <v>243</v>
      </c>
      <c r="F106" s="70" t="s">
        <v>66</v>
      </c>
      <c r="G106" s="72">
        <v>5</v>
      </c>
      <c r="H106" s="53" t="s">
        <v>207</v>
      </c>
      <c r="I106" s="73">
        <v>1</v>
      </c>
      <c r="J106" s="74">
        <f>IF($D106="무료",0,IF($D106="메뉴",0,IF($D106="프렙",IFERROR(VLOOKUP($E106,'② 프렙 원가'!$B$6:$F$16,5,FALSE),0),IFERROR(VLOOKUP($E106,'① 식재료 단가'!$B$6:$G$123,6,FALSE),0))))</f>
      </c>
      <c r="K106" s="75">
        <f>IF($D106="메뉴",ROUND($G106*$J106,1),IF($I106&gt;0,ROUND($G106/$I106*$J106,1),0))</f>
      </c>
      <c r="L106" s="54" t="s">
        <v>66</v>
      </c>
    </row>
    <row r="107" spans="1:12" x14ac:dyDescent="0.25">
      <c r="A107" s="70" t="s">
        <v>76</v>
      </c>
      <c r="B107" s="31" t="s">
        <v>117</v>
      </c>
      <c r="C107" s="53">
        <v>5</v>
      </c>
      <c r="D107" s="71" t="s">
        <v>204</v>
      </c>
      <c r="E107" s="44" t="s">
        <v>216</v>
      </c>
      <c r="F107" s="70" t="s">
        <v>66</v>
      </c>
      <c r="G107" s="72">
        <v>15</v>
      </c>
      <c r="H107" s="53" t="s">
        <v>207</v>
      </c>
      <c r="I107" s="73">
        <v>1</v>
      </c>
      <c r="J107" s="74">
        <f>IF($D107="무료",0,IF($D107="메뉴",0,IF($D107="프렙",IFERROR(VLOOKUP($E107,'② 프렙 원가'!$B$6:$F$16,5,FALSE),0),IFERROR(VLOOKUP($E107,'① 식재료 단가'!$B$6:$G$123,6,FALSE),0))))</f>
      </c>
      <c r="K107" s="75">
        <f>IF($D107="메뉴",ROUND($G107*$J107,1),IF($I107&gt;0,ROUND($G107/$I107*$J107,1),0))</f>
      </c>
      <c r="L107" s="54" t="s">
        <v>66</v>
      </c>
    </row>
    <row r="108" spans="1:12" x14ac:dyDescent="0.25">
      <c r="A108" s="70" t="s">
        <v>76</v>
      </c>
      <c r="B108" s="31" t="s">
        <v>117</v>
      </c>
      <c r="C108" s="53">
        <v>6</v>
      </c>
      <c r="D108" s="71" t="s">
        <v>204</v>
      </c>
      <c r="E108" s="44" t="s">
        <v>287</v>
      </c>
      <c r="F108" s="70" t="s">
        <v>66</v>
      </c>
      <c r="G108" s="72">
        <v>5</v>
      </c>
      <c r="H108" s="53" t="s">
        <v>207</v>
      </c>
      <c r="I108" s="73">
        <v>1</v>
      </c>
      <c r="J108" s="74">
        <f>IF($D108="무료",0,IF($D108="메뉴",0,IF($D108="프렙",IFERROR(VLOOKUP($E108,'② 프렙 원가'!$B$6:$F$16,5,FALSE),0),IFERROR(VLOOKUP($E108,'① 식재료 단가'!$B$6:$G$123,6,FALSE),0))))</f>
      </c>
      <c r="K108" s="75">
        <f>IF($D108="메뉴",ROUND($G108*$J108,1),IF($I108&gt;0,ROUND($G108/$I108*$J108,1),0))</f>
      </c>
      <c r="L108" s="54" t="s">
        <v>66</v>
      </c>
    </row>
    <row r="109" spans="1:12" x14ac:dyDescent="0.25">
      <c r="A109" s="70" t="s">
        <v>76</v>
      </c>
      <c r="B109" s="31" t="s">
        <v>117</v>
      </c>
      <c r="C109" s="53">
        <v>7</v>
      </c>
      <c r="D109" s="76" t="s">
        <v>209</v>
      </c>
      <c r="E109" s="44" t="s">
        <v>210</v>
      </c>
      <c r="F109" s="70" t="s">
        <v>66</v>
      </c>
      <c r="G109" s="72">
        <v>160</v>
      </c>
      <c r="H109" s="53" t="s">
        <v>207</v>
      </c>
      <c r="I109" s="73">
        <v>1</v>
      </c>
      <c r="J109" s="74">
        <f>IF($D109="무료",0,IF($D109="메뉴",0,IF($D109="프렙",IFERROR(VLOOKUP($E109,'② 프렙 원가'!$B$6:$F$16,5,FALSE),0),IFERROR(VLOOKUP($E109,'① 식재료 단가'!$B$6:$G$123,6,FALSE),0))))</f>
      </c>
      <c r="K109" s="75">
        <f>IF($D109="메뉴",ROUND($G109*$J109,1),IF($I109&gt;0,ROUND($G109/$I109*$J109,1),0))</f>
      </c>
      <c r="L109" s="54" t="s">
        <v>66</v>
      </c>
    </row>
    <row r="110" spans="1:12" x14ac:dyDescent="0.25">
      <c r="A110" s="77" t="s">
        <v>76</v>
      </c>
      <c r="B110" s="36" t="s">
        <v>118</v>
      </c>
      <c r="C110" s="63">
        <v>1</v>
      </c>
      <c r="D110" s="78" t="s">
        <v>204</v>
      </c>
      <c r="E110" s="49" t="s">
        <v>278</v>
      </c>
      <c r="F110" s="77" t="s">
        <v>66</v>
      </c>
      <c r="G110" s="72">
        <v>40</v>
      </c>
      <c r="H110" s="63" t="s">
        <v>207</v>
      </c>
      <c r="I110" s="73">
        <v>1</v>
      </c>
      <c r="J110" s="74">
        <f>IF($D110="무료",0,IF($D110="메뉴",0,IF($D110="프렙",IFERROR(VLOOKUP($E110,'② 프렙 원가'!$B$6:$F$16,5,FALSE),0),IFERROR(VLOOKUP($E110,'① 식재료 단가'!$B$6:$G$123,6,FALSE),0))))</f>
      </c>
      <c r="K110" s="75">
        <f>IF($D110="메뉴",ROUND($G110*$J110,1),IF($I110&gt;0,ROUND($G110/$I110*$J110,1),0))</f>
      </c>
      <c r="L110" s="64" t="s">
        <v>230</v>
      </c>
    </row>
    <row r="111" spans="1:12" x14ac:dyDescent="0.25">
      <c r="A111" s="77" t="s">
        <v>76</v>
      </c>
      <c r="B111" s="36" t="s">
        <v>118</v>
      </c>
      <c r="C111" s="63">
        <v>2</v>
      </c>
      <c r="D111" s="79" t="s">
        <v>209</v>
      </c>
      <c r="E111" s="49" t="s">
        <v>210</v>
      </c>
      <c r="F111" s="77" t="s">
        <v>66</v>
      </c>
      <c r="G111" s="72">
        <v>160</v>
      </c>
      <c r="H111" s="63" t="s">
        <v>207</v>
      </c>
      <c r="I111" s="73">
        <v>1</v>
      </c>
      <c r="J111" s="74">
        <f>IF($D111="무료",0,IF($D111="메뉴",0,IF($D111="프렙",IFERROR(VLOOKUP($E111,'② 프렙 원가'!$B$6:$F$16,5,FALSE),0),IFERROR(VLOOKUP($E111,'① 식재료 단가'!$B$6:$G$123,6,FALSE),0))))</f>
      </c>
      <c r="K111" s="75">
        <f>IF($D111="메뉴",ROUND($G111*$J111,1),IF($I111&gt;0,ROUND($G111/$I111*$J111,1),0))</f>
      </c>
      <c r="L111" s="64" t="s">
        <v>211</v>
      </c>
    </row>
    <row r="112" spans="1:12" x14ac:dyDescent="0.25">
      <c r="A112" s="77" t="s">
        <v>76</v>
      </c>
      <c r="B112" s="36" t="s">
        <v>118</v>
      </c>
      <c r="C112" s="63">
        <v>3</v>
      </c>
      <c r="D112" s="78" t="s">
        <v>204</v>
      </c>
      <c r="E112" s="49" t="s">
        <v>251</v>
      </c>
      <c r="F112" s="77" t="s">
        <v>66</v>
      </c>
      <c r="G112" s="72">
        <v>10</v>
      </c>
      <c r="H112" s="63" t="s">
        <v>207</v>
      </c>
      <c r="I112" s="73">
        <v>1</v>
      </c>
      <c r="J112" s="74">
        <f>IF($D112="무료",0,IF($D112="메뉴",0,IF($D112="프렙",IFERROR(VLOOKUP($E112,'② 프렙 원가'!$B$6:$F$16,5,FALSE),0),IFERROR(VLOOKUP($E112,'① 식재료 단가'!$B$6:$G$123,6,FALSE),0))))</f>
      </c>
      <c r="K112" s="75">
        <f>IF($D112="메뉴",ROUND($G112*$J112,1),IF($I112&gt;0,ROUND($G112/$I112*$J112,1),0))</f>
      </c>
      <c r="L112" s="64" t="s">
        <v>252</v>
      </c>
    </row>
    <row r="113" spans="1:12" x14ac:dyDescent="0.25">
      <c r="A113" s="77" t="s">
        <v>76</v>
      </c>
      <c r="B113" s="36" t="s">
        <v>118</v>
      </c>
      <c r="C113" s="63">
        <v>4</v>
      </c>
      <c r="D113" s="78" t="s">
        <v>204</v>
      </c>
      <c r="E113" s="49" t="s">
        <v>215</v>
      </c>
      <c r="F113" s="77" t="s">
        <v>66</v>
      </c>
      <c r="G113" s="72">
        <v>25</v>
      </c>
      <c r="H113" s="63" t="s">
        <v>207</v>
      </c>
      <c r="I113" s="73">
        <v>1</v>
      </c>
      <c r="J113" s="74">
        <f>IF($D113="무료",0,IF($D113="메뉴",0,IF($D113="프렙",IFERROR(VLOOKUP($E113,'② 프렙 원가'!$B$6:$F$16,5,FALSE),0),IFERROR(VLOOKUP($E113,'① 식재료 단가'!$B$6:$G$123,6,FALSE),0))))</f>
      </c>
      <c r="K113" s="75">
        <f>IF($D113="메뉴",ROUND($G113*$J113,1),IF($I113&gt;0,ROUND($G113/$I113*$J113,1),0))</f>
      </c>
      <c r="L113" s="64" t="s">
        <v>66</v>
      </c>
    </row>
    <row r="114" spans="1:12" x14ac:dyDescent="0.25">
      <c r="A114" s="77" t="s">
        <v>76</v>
      </c>
      <c r="B114" s="36" t="s">
        <v>118</v>
      </c>
      <c r="C114" s="63">
        <v>5</v>
      </c>
      <c r="D114" s="78" t="s">
        <v>204</v>
      </c>
      <c r="E114" s="49" t="s">
        <v>253</v>
      </c>
      <c r="F114" s="77" t="s">
        <v>269</v>
      </c>
      <c r="G114" s="72">
        <v>2</v>
      </c>
      <c r="H114" s="63" t="s">
        <v>207</v>
      </c>
      <c r="I114" s="73">
        <v>1</v>
      </c>
      <c r="J114" s="74">
        <f>IF($D114="무료",0,IF($D114="메뉴",0,IF($D114="프렙",IFERROR(VLOOKUP($E114,'② 프렙 원가'!$B$6:$F$16,5,FALSE),0),IFERROR(VLOOKUP($E114,'① 식재료 단가'!$B$6:$G$123,6,FALSE),0))))</f>
      </c>
      <c r="K114" s="75">
        <f>IF($D114="메뉴",ROUND($G114*$J114,1),IF($I114&gt;0,ROUND($G114/$I114*$J114,1),0))</f>
      </c>
      <c r="L114" s="64" t="s">
        <v>255</v>
      </c>
    </row>
    <row r="115" spans="1:12" x14ac:dyDescent="0.25">
      <c r="A115" s="77" t="s">
        <v>76</v>
      </c>
      <c r="B115" s="36" t="s">
        <v>118</v>
      </c>
      <c r="C115" s="63">
        <v>6</v>
      </c>
      <c r="D115" s="78" t="s">
        <v>204</v>
      </c>
      <c r="E115" s="49" t="s">
        <v>216</v>
      </c>
      <c r="F115" s="77" t="s">
        <v>66</v>
      </c>
      <c r="G115" s="72">
        <v>5</v>
      </c>
      <c r="H115" s="63" t="s">
        <v>207</v>
      </c>
      <c r="I115" s="73">
        <v>1</v>
      </c>
      <c r="J115" s="74">
        <f>IF($D115="무료",0,IF($D115="메뉴",0,IF($D115="프렙",IFERROR(VLOOKUP($E115,'② 프렙 원가'!$B$6:$F$16,5,FALSE),0),IFERROR(VLOOKUP($E115,'① 식재료 단가'!$B$6:$G$123,6,FALSE),0))))</f>
      </c>
      <c r="K115" s="75">
        <f>IF($D115="메뉴",ROUND($G115*$J115,1),IF($I115&gt;0,ROUND($G115/$I115*$J115,1),0))</f>
      </c>
      <c r="L115" s="64" t="s">
        <v>66</v>
      </c>
    </row>
    <row r="116" spans="1:12" x14ac:dyDescent="0.25">
      <c r="A116" s="77" t="s">
        <v>76</v>
      </c>
      <c r="B116" s="36" t="s">
        <v>118</v>
      </c>
      <c r="C116" s="63">
        <v>7</v>
      </c>
      <c r="D116" s="78" t="s">
        <v>204</v>
      </c>
      <c r="E116" s="49" t="s">
        <v>238</v>
      </c>
      <c r="F116" s="77" t="s">
        <v>66</v>
      </c>
      <c r="G116" s="72">
        <v>10</v>
      </c>
      <c r="H116" s="63" t="s">
        <v>207</v>
      </c>
      <c r="I116" s="73">
        <v>1</v>
      </c>
      <c r="J116" s="74">
        <f>IF($D116="무료",0,IF($D116="메뉴",0,IF($D116="프렙",IFERROR(VLOOKUP($E116,'② 프렙 원가'!$B$6:$F$16,5,FALSE),0),IFERROR(VLOOKUP($E116,'① 식재료 단가'!$B$6:$G$123,6,FALSE),0))))</f>
      </c>
      <c r="K116" s="75">
        <f>IF($D116="메뉴",ROUND($G116*$J116,1),IF($I116&gt;0,ROUND($G116/$I116*$J116,1),0))</f>
      </c>
      <c r="L116" s="64" t="s">
        <v>66</v>
      </c>
    </row>
    <row r="117" spans="1:12" x14ac:dyDescent="0.25">
      <c r="A117" s="70" t="s">
        <v>76</v>
      </c>
      <c r="B117" s="31" t="s">
        <v>119</v>
      </c>
      <c r="C117" s="53">
        <v>1</v>
      </c>
      <c r="D117" s="71" t="s">
        <v>204</v>
      </c>
      <c r="E117" s="44" t="s">
        <v>278</v>
      </c>
      <c r="F117" s="70" t="s">
        <v>66</v>
      </c>
      <c r="G117" s="72">
        <v>40</v>
      </c>
      <c r="H117" s="53" t="s">
        <v>207</v>
      </c>
      <c r="I117" s="73">
        <v>1</v>
      </c>
      <c r="J117" s="74">
        <f>IF($D117="무료",0,IF($D117="메뉴",0,IF($D117="프렙",IFERROR(VLOOKUP($E117,'② 프렙 원가'!$B$6:$F$16,5,FALSE),0),IFERROR(VLOOKUP($E117,'① 식재료 단가'!$B$6:$G$123,6,FALSE),0))))</f>
      </c>
      <c r="K117" s="75">
        <f>IF($D117="메뉴",ROUND($G117*$J117,1),IF($I117&gt;0,ROUND($G117/$I117*$J117,1),0))</f>
      </c>
      <c r="L117" s="54" t="s">
        <v>230</v>
      </c>
    </row>
    <row r="118" spans="1:12" x14ac:dyDescent="0.25">
      <c r="A118" s="70" t="s">
        <v>76</v>
      </c>
      <c r="B118" s="31" t="s">
        <v>119</v>
      </c>
      <c r="C118" s="53">
        <v>2</v>
      </c>
      <c r="D118" s="76" t="s">
        <v>209</v>
      </c>
      <c r="E118" s="44" t="s">
        <v>210</v>
      </c>
      <c r="F118" s="70" t="s">
        <v>66</v>
      </c>
      <c r="G118" s="72">
        <v>165</v>
      </c>
      <c r="H118" s="53" t="s">
        <v>207</v>
      </c>
      <c r="I118" s="73">
        <v>1</v>
      </c>
      <c r="J118" s="74">
        <f>IF($D118="무료",0,IF($D118="메뉴",0,IF($D118="프렙",IFERROR(VLOOKUP($E118,'② 프렙 원가'!$B$6:$F$16,5,FALSE),0),IFERROR(VLOOKUP($E118,'① 식재료 단가'!$B$6:$G$123,6,FALSE),0))))</f>
      </c>
      <c r="K118" s="75">
        <f>IF($D118="메뉴",ROUND($G118*$J118,1),IF($I118&gt;0,ROUND($G118/$I118*$J118,1),0))</f>
      </c>
      <c r="L118" s="54" t="s">
        <v>66</v>
      </c>
    </row>
    <row r="119" spans="1:12" x14ac:dyDescent="0.25">
      <c r="A119" s="70" t="s">
        <v>76</v>
      </c>
      <c r="B119" s="31" t="s">
        <v>119</v>
      </c>
      <c r="C119" s="53">
        <v>3</v>
      </c>
      <c r="D119" s="71" t="s">
        <v>204</v>
      </c>
      <c r="E119" s="44" t="s">
        <v>215</v>
      </c>
      <c r="F119" s="70" t="s">
        <v>66</v>
      </c>
      <c r="G119" s="72">
        <v>25</v>
      </c>
      <c r="H119" s="53" t="s">
        <v>207</v>
      </c>
      <c r="I119" s="73">
        <v>1</v>
      </c>
      <c r="J119" s="74">
        <f>IF($D119="무료",0,IF($D119="메뉴",0,IF($D119="프렙",IFERROR(VLOOKUP($E119,'② 프렙 원가'!$B$6:$F$16,5,FALSE),0),IFERROR(VLOOKUP($E119,'① 식재료 단가'!$B$6:$G$123,6,FALSE),0))))</f>
      </c>
      <c r="K119" s="75">
        <f>IF($D119="메뉴",ROUND($G119*$J119,1),IF($I119&gt;0,ROUND($G119/$I119*$J119,1),0))</f>
      </c>
      <c r="L119" s="54" t="s">
        <v>66</v>
      </c>
    </row>
    <row r="120" spans="1:12" x14ac:dyDescent="0.25">
      <c r="A120" s="70" t="s">
        <v>76</v>
      </c>
      <c r="B120" s="31" t="s">
        <v>119</v>
      </c>
      <c r="C120" s="53">
        <v>4</v>
      </c>
      <c r="D120" s="71" t="s">
        <v>204</v>
      </c>
      <c r="E120" s="44" t="s">
        <v>231</v>
      </c>
      <c r="F120" s="70" t="s">
        <v>288</v>
      </c>
      <c r="G120" s="72">
        <v>10</v>
      </c>
      <c r="H120" s="53" t="s">
        <v>207</v>
      </c>
      <c r="I120" s="73">
        <v>1</v>
      </c>
      <c r="J120" s="74">
        <f>IF($D120="무료",0,IF($D120="메뉴",0,IF($D120="프렙",IFERROR(VLOOKUP($E120,'② 프렙 원가'!$B$6:$F$16,5,FALSE),0),IFERROR(VLOOKUP($E120,'① 식재료 단가'!$B$6:$G$123,6,FALSE),0))))</f>
      </c>
      <c r="K120" s="75">
        <f>IF($D120="메뉴",ROUND($G120*$J120,1),IF($I120&gt;0,ROUND($G120/$I120*$J120,1),0))</f>
      </c>
      <c r="L120" s="54" t="s">
        <v>66</v>
      </c>
    </row>
    <row r="121" spans="1:12" x14ac:dyDescent="0.25">
      <c r="A121" s="70" t="s">
        <v>76</v>
      </c>
      <c r="B121" s="31" t="s">
        <v>119</v>
      </c>
      <c r="C121" s="53">
        <v>5</v>
      </c>
      <c r="D121" s="71" t="s">
        <v>204</v>
      </c>
      <c r="E121" s="44" t="s">
        <v>212</v>
      </c>
      <c r="F121" s="70" t="s">
        <v>66</v>
      </c>
      <c r="G121" s="72">
        <v>5</v>
      </c>
      <c r="H121" s="53" t="s">
        <v>207</v>
      </c>
      <c r="I121" s="73">
        <v>1</v>
      </c>
      <c r="J121" s="74">
        <f>IF($D121="무료",0,IF($D121="메뉴",0,IF($D121="프렙",IFERROR(VLOOKUP($E121,'② 프렙 원가'!$B$6:$F$16,5,FALSE),0),IFERROR(VLOOKUP($E121,'① 식재료 단가'!$B$6:$G$123,6,FALSE),0))))</f>
      </c>
      <c r="K121" s="75">
        <f>IF($D121="메뉴",ROUND($G121*$J121,1),IF($I121&gt;0,ROUND($G121/$I121*$J121,1),0))</f>
      </c>
      <c r="L121" s="54" t="s">
        <v>66</v>
      </c>
    </row>
    <row r="122" spans="1:12" x14ac:dyDescent="0.25">
      <c r="A122" s="70" t="s">
        <v>76</v>
      </c>
      <c r="B122" s="31" t="s">
        <v>119</v>
      </c>
      <c r="C122" s="53">
        <v>6</v>
      </c>
      <c r="D122" s="71" t="s">
        <v>204</v>
      </c>
      <c r="E122" s="44" t="s">
        <v>216</v>
      </c>
      <c r="F122" s="70" t="s">
        <v>66</v>
      </c>
      <c r="G122" s="72">
        <v>5</v>
      </c>
      <c r="H122" s="53" t="s">
        <v>207</v>
      </c>
      <c r="I122" s="73">
        <v>1</v>
      </c>
      <c r="J122" s="74">
        <f>IF($D122="무료",0,IF($D122="메뉴",0,IF($D122="프렙",IFERROR(VLOOKUP($E122,'② 프렙 원가'!$B$6:$F$16,5,FALSE),0),IFERROR(VLOOKUP($E122,'① 식재료 단가'!$B$6:$G$123,6,FALSE),0))))</f>
      </c>
      <c r="K122" s="75">
        <f>IF($D122="메뉴",ROUND($G122*$J122,1),IF($I122&gt;0,ROUND($G122/$I122*$J122,1),0))</f>
      </c>
      <c r="L122" s="54" t="s">
        <v>66</v>
      </c>
    </row>
    <row r="123" spans="1:12" x14ac:dyDescent="0.25">
      <c r="A123" s="77" t="s">
        <v>77</v>
      </c>
      <c r="B123" s="36" t="s">
        <v>120</v>
      </c>
      <c r="C123" s="63">
        <v>1</v>
      </c>
      <c r="D123" s="78" t="s">
        <v>204</v>
      </c>
      <c r="E123" s="49" t="s">
        <v>232</v>
      </c>
      <c r="F123" s="77" t="s">
        <v>66</v>
      </c>
      <c r="G123" s="72">
        <v>85</v>
      </c>
      <c r="H123" s="63" t="s">
        <v>207</v>
      </c>
      <c r="I123" s="73">
        <v>1</v>
      </c>
      <c r="J123" s="74">
        <f>IF($D123="무료",0,IF($D123="메뉴",0,IF($D123="프렙",IFERROR(VLOOKUP($E123,'② 프렙 원가'!$B$6:$F$16,5,FALSE),0),IFERROR(VLOOKUP($E123,'① 식재료 단가'!$B$6:$G$123,6,FALSE),0))))</f>
      </c>
      <c r="K123" s="75">
        <f>IF($D123="메뉴",ROUND($G123*$J123,1),IF($I123&gt;0,ROUND($G123/$I123*$J123,1),0))</f>
      </c>
      <c r="L123" s="64" t="s">
        <v>289</v>
      </c>
    </row>
    <row r="124" spans="1:12" x14ac:dyDescent="0.25">
      <c r="A124" s="77" t="s">
        <v>77</v>
      </c>
      <c r="B124" s="36" t="s">
        <v>120</v>
      </c>
      <c r="C124" s="63">
        <v>2</v>
      </c>
      <c r="D124" s="79" t="s">
        <v>209</v>
      </c>
      <c r="E124" s="49" t="s">
        <v>210</v>
      </c>
      <c r="F124" s="77" t="s">
        <v>66</v>
      </c>
      <c r="G124" s="72">
        <v>125</v>
      </c>
      <c r="H124" s="63" t="s">
        <v>207</v>
      </c>
      <c r="I124" s="73">
        <v>1</v>
      </c>
      <c r="J124" s="74">
        <f>IF($D124="무료",0,IF($D124="메뉴",0,IF($D124="프렙",IFERROR(VLOOKUP($E124,'② 프렙 원가'!$B$6:$F$16,5,FALSE),0),IFERROR(VLOOKUP($E124,'① 식재료 단가'!$B$6:$G$123,6,FALSE),0))))</f>
      </c>
      <c r="K124" s="75">
        <f>IF($D124="메뉴",ROUND($G124*$J124,1),IF($I124&gt;0,ROUND($G124/$I124*$J124,1),0))</f>
      </c>
      <c r="L124" s="64" t="s">
        <v>66</v>
      </c>
    </row>
    <row r="125" spans="1:12" x14ac:dyDescent="0.25">
      <c r="A125" s="77" t="s">
        <v>77</v>
      </c>
      <c r="B125" s="36" t="s">
        <v>120</v>
      </c>
      <c r="C125" s="63">
        <v>3</v>
      </c>
      <c r="D125" s="78" t="s">
        <v>204</v>
      </c>
      <c r="E125" s="49" t="s">
        <v>253</v>
      </c>
      <c r="F125" s="77" t="s">
        <v>269</v>
      </c>
      <c r="G125" s="72">
        <v>2</v>
      </c>
      <c r="H125" s="63" t="s">
        <v>207</v>
      </c>
      <c r="I125" s="73">
        <v>1</v>
      </c>
      <c r="J125" s="74">
        <f>IF($D125="무료",0,IF($D125="메뉴",0,IF($D125="프렙",IFERROR(VLOOKUP($E125,'② 프렙 원가'!$B$6:$F$16,5,FALSE),0),IFERROR(VLOOKUP($E125,'① 식재료 단가'!$B$6:$G$123,6,FALSE),0))))</f>
      </c>
      <c r="K125" s="75">
        <f>IF($D125="메뉴",ROUND($G125*$J125,1),IF($I125&gt;0,ROUND($G125/$I125*$J125,1),0))</f>
      </c>
      <c r="L125" s="64" t="s">
        <v>290</v>
      </c>
    </row>
    <row r="126" spans="1:12" x14ac:dyDescent="0.25">
      <c r="A126" s="77" t="s">
        <v>77</v>
      </c>
      <c r="B126" s="36" t="s">
        <v>120</v>
      </c>
      <c r="C126" s="63">
        <v>4</v>
      </c>
      <c r="D126" s="78" t="s">
        <v>204</v>
      </c>
      <c r="E126" s="49" t="s">
        <v>251</v>
      </c>
      <c r="F126" s="77" t="s">
        <v>66</v>
      </c>
      <c r="G126" s="72">
        <v>10</v>
      </c>
      <c r="H126" s="63" t="s">
        <v>207</v>
      </c>
      <c r="I126" s="73">
        <v>1</v>
      </c>
      <c r="J126" s="74">
        <f>IF($D126="무료",0,IF($D126="메뉴",0,IF($D126="프렙",IFERROR(VLOOKUP($E126,'② 프렙 원가'!$B$6:$F$16,5,FALSE),0),IFERROR(VLOOKUP($E126,'① 식재료 단가'!$B$6:$G$123,6,FALSE),0))))</f>
      </c>
      <c r="K126" s="75">
        <f>IF($D126="메뉴",ROUND($G126*$J126,1),IF($I126&gt;0,ROUND($G126/$I126*$J126,1),0))</f>
      </c>
      <c r="L126" s="64" t="s">
        <v>66</v>
      </c>
    </row>
    <row r="127" spans="1:12" x14ac:dyDescent="0.25">
      <c r="A127" s="77" t="s">
        <v>77</v>
      </c>
      <c r="B127" s="36" t="s">
        <v>120</v>
      </c>
      <c r="C127" s="63">
        <v>5</v>
      </c>
      <c r="D127" s="78" t="s">
        <v>204</v>
      </c>
      <c r="E127" s="49" t="s">
        <v>215</v>
      </c>
      <c r="F127" s="77" t="s">
        <v>66</v>
      </c>
      <c r="G127" s="72">
        <v>20</v>
      </c>
      <c r="H127" s="63" t="s">
        <v>207</v>
      </c>
      <c r="I127" s="73">
        <v>1</v>
      </c>
      <c r="J127" s="74">
        <f>IF($D127="무료",0,IF($D127="메뉴",0,IF($D127="프렙",IFERROR(VLOOKUP($E127,'② 프렙 원가'!$B$6:$F$16,5,FALSE),0),IFERROR(VLOOKUP($E127,'① 식재료 단가'!$B$6:$G$123,6,FALSE),0))))</f>
      </c>
      <c r="K127" s="75">
        <f>IF($D127="메뉴",ROUND($G127*$J127,1),IF($I127&gt;0,ROUND($G127/$I127*$J127,1),0))</f>
      </c>
      <c r="L127" s="64" t="s">
        <v>66</v>
      </c>
    </row>
    <row r="128" spans="1:12" x14ac:dyDescent="0.25">
      <c r="A128" s="77" t="s">
        <v>77</v>
      </c>
      <c r="B128" s="36" t="s">
        <v>120</v>
      </c>
      <c r="C128" s="63">
        <v>6</v>
      </c>
      <c r="D128" s="78" t="s">
        <v>204</v>
      </c>
      <c r="E128" s="49" t="s">
        <v>234</v>
      </c>
      <c r="F128" s="77" t="s">
        <v>66</v>
      </c>
      <c r="G128" s="72">
        <v>5</v>
      </c>
      <c r="H128" s="63" t="s">
        <v>207</v>
      </c>
      <c r="I128" s="73">
        <v>1</v>
      </c>
      <c r="J128" s="74">
        <f>IF($D128="무료",0,IF($D128="메뉴",0,IF($D128="프렙",IFERROR(VLOOKUP($E128,'② 프렙 원가'!$B$6:$F$16,5,FALSE),0),IFERROR(VLOOKUP($E128,'① 식재료 단가'!$B$6:$G$123,6,FALSE),0))))</f>
      </c>
      <c r="K128" s="75">
        <f>IF($D128="메뉴",ROUND($G128*$J128,1),IF($I128&gt;0,ROUND($G128/$I128*$J128,1),0))</f>
      </c>
      <c r="L128" s="64" t="s">
        <v>271</v>
      </c>
    </row>
    <row r="129" spans="1:12" x14ac:dyDescent="0.25">
      <c r="A129" s="77" t="s">
        <v>77</v>
      </c>
      <c r="B129" s="36" t="s">
        <v>120</v>
      </c>
      <c r="C129" s="63">
        <v>7</v>
      </c>
      <c r="D129" s="78" t="s">
        <v>204</v>
      </c>
      <c r="E129" s="49" t="s">
        <v>216</v>
      </c>
      <c r="F129" s="77" t="s">
        <v>66</v>
      </c>
      <c r="G129" s="72">
        <v>5</v>
      </c>
      <c r="H129" s="63" t="s">
        <v>207</v>
      </c>
      <c r="I129" s="73">
        <v>1</v>
      </c>
      <c r="J129" s="74">
        <f>IF($D129="무료",0,IF($D129="메뉴",0,IF($D129="프렙",IFERROR(VLOOKUP($E129,'② 프렙 원가'!$B$6:$F$16,5,FALSE),0),IFERROR(VLOOKUP($E129,'① 식재료 단가'!$B$6:$G$123,6,FALSE),0))))</f>
      </c>
      <c r="K129" s="75">
        <f>IF($D129="메뉴",ROUND($G129*$J129,1),IF($I129&gt;0,ROUND($G129/$I129*$J129,1),0))</f>
      </c>
      <c r="L129" s="64" t="s">
        <v>66</v>
      </c>
    </row>
    <row r="130" spans="1:12" x14ac:dyDescent="0.25">
      <c r="A130" s="70" t="s">
        <v>77</v>
      </c>
      <c r="B130" s="31" t="s">
        <v>121</v>
      </c>
      <c r="C130" s="53">
        <v>1</v>
      </c>
      <c r="D130" s="71" t="s">
        <v>204</v>
      </c>
      <c r="E130" s="44" t="s">
        <v>291</v>
      </c>
      <c r="F130" s="70" t="s">
        <v>66</v>
      </c>
      <c r="G130" s="72">
        <v>40</v>
      </c>
      <c r="H130" s="53" t="s">
        <v>207</v>
      </c>
      <c r="I130" s="73">
        <v>1</v>
      </c>
      <c r="J130" s="74">
        <f>IF($D130="무료",0,IF($D130="메뉴",0,IF($D130="프렙",IFERROR(VLOOKUP($E130,'② 프렙 원가'!$B$6:$F$16,5,FALSE),0),IFERROR(VLOOKUP($E130,'① 식재료 단가'!$B$6:$G$123,6,FALSE),0))))</f>
      </c>
      <c r="K130" s="75">
        <f>IF($D130="메뉴",ROUND($G130*$J130,1),IF($I130&gt;0,ROUND($G130/$I130*$J130,1),0))</f>
      </c>
      <c r="L130" s="54" t="s">
        <v>292</v>
      </c>
    </row>
    <row r="131" spans="1:12" x14ac:dyDescent="0.25">
      <c r="A131" s="70" t="s">
        <v>77</v>
      </c>
      <c r="B131" s="31" t="s">
        <v>121</v>
      </c>
      <c r="C131" s="53">
        <v>2</v>
      </c>
      <c r="D131" s="76" t="s">
        <v>209</v>
      </c>
      <c r="E131" s="44" t="s">
        <v>210</v>
      </c>
      <c r="F131" s="70" t="s">
        <v>66</v>
      </c>
      <c r="G131" s="72">
        <v>160</v>
      </c>
      <c r="H131" s="53" t="s">
        <v>207</v>
      </c>
      <c r="I131" s="73">
        <v>1</v>
      </c>
      <c r="J131" s="74">
        <f>IF($D131="무료",0,IF($D131="메뉴",0,IF($D131="프렙",IFERROR(VLOOKUP($E131,'② 프렙 원가'!$B$6:$F$16,5,FALSE),0),IFERROR(VLOOKUP($E131,'① 식재료 단가'!$B$6:$G$123,6,FALSE),0))))</f>
      </c>
      <c r="K131" s="75">
        <f>IF($D131="메뉴",ROUND($G131*$J131,1),IF($I131&gt;0,ROUND($G131/$I131*$J131,1),0))</f>
      </c>
      <c r="L131" s="54" t="s">
        <v>66</v>
      </c>
    </row>
    <row r="132" spans="1:12" x14ac:dyDescent="0.25">
      <c r="A132" s="70" t="s">
        <v>77</v>
      </c>
      <c r="B132" s="31" t="s">
        <v>121</v>
      </c>
      <c r="C132" s="53">
        <v>3</v>
      </c>
      <c r="D132" s="71" t="s">
        <v>204</v>
      </c>
      <c r="E132" s="44" t="s">
        <v>241</v>
      </c>
      <c r="F132" s="70" t="s">
        <v>66</v>
      </c>
      <c r="G132" s="72">
        <v>10</v>
      </c>
      <c r="H132" s="53" t="s">
        <v>207</v>
      </c>
      <c r="I132" s="73">
        <v>1</v>
      </c>
      <c r="J132" s="74">
        <f>IF($D132="무료",0,IF($D132="메뉴",0,IF($D132="프렙",IFERROR(VLOOKUP($E132,'② 프렙 원가'!$B$6:$F$16,5,FALSE),0),IFERROR(VLOOKUP($E132,'① 식재료 단가'!$B$6:$G$123,6,FALSE),0))))</f>
      </c>
      <c r="K132" s="75">
        <f>IF($D132="메뉴",ROUND($G132*$J132,1),IF($I132&gt;0,ROUND($G132/$I132*$J132,1),0))</f>
      </c>
      <c r="L132" s="54" t="s">
        <v>242</v>
      </c>
    </row>
    <row r="133" spans="1:12" x14ac:dyDescent="0.25">
      <c r="A133" s="70" t="s">
        <v>77</v>
      </c>
      <c r="B133" s="31" t="s">
        <v>121</v>
      </c>
      <c r="C133" s="53">
        <v>4</v>
      </c>
      <c r="D133" s="71" t="s">
        <v>204</v>
      </c>
      <c r="E133" s="44" t="s">
        <v>246</v>
      </c>
      <c r="F133" s="70" t="s">
        <v>247</v>
      </c>
      <c r="G133" s="72">
        <v>10</v>
      </c>
      <c r="H133" s="53" t="s">
        <v>207</v>
      </c>
      <c r="I133" s="73">
        <v>1</v>
      </c>
      <c r="J133" s="74">
        <f>IF($D133="무료",0,IF($D133="메뉴",0,IF($D133="프렙",IFERROR(VLOOKUP($E133,'② 프렙 원가'!$B$6:$F$16,5,FALSE),0),IFERROR(VLOOKUP($E133,'① 식재료 단가'!$B$6:$G$123,6,FALSE),0))))</f>
      </c>
      <c r="K133" s="75">
        <f>IF($D133="메뉴",ROUND($G133*$J133,1),IF($I133&gt;0,ROUND($G133/$I133*$J133,1),0))</f>
      </c>
      <c r="L133" s="54" t="s">
        <v>66</v>
      </c>
    </row>
    <row r="134" spans="1:12" x14ac:dyDescent="0.25">
      <c r="A134" s="70" t="s">
        <v>77</v>
      </c>
      <c r="B134" s="31" t="s">
        <v>121</v>
      </c>
      <c r="C134" s="53">
        <v>5</v>
      </c>
      <c r="D134" s="71" t="s">
        <v>204</v>
      </c>
      <c r="E134" s="44" t="s">
        <v>243</v>
      </c>
      <c r="F134" s="70" t="s">
        <v>66</v>
      </c>
      <c r="G134" s="72">
        <v>15</v>
      </c>
      <c r="H134" s="53" t="s">
        <v>207</v>
      </c>
      <c r="I134" s="73">
        <v>1</v>
      </c>
      <c r="J134" s="74">
        <f>IF($D134="무료",0,IF($D134="메뉴",0,IF($D134="프렙",IFERROR(VLOOKUP($E134,'② 프렙 원가'!$B$6:$F$16,5,FALSE),0),IFERROR(VLOOKUP($E134,'① 식재료 단가'!$B$6:$G$123,6,FALSE),0))))</f>
      </c>
      <c r="K134" s="75">
        <f>IF($D134="메뉴",ROUND($G134*$J134,1),IF($I134&gt;0,ROUND($G134/$I134*$J134,1),0))</f>
      </c>
      <c r="L134" s="54" t="s">
        <v>244</v>
      </c>
    </row>
    <row r="135" spans="1:12" x14ac:dyDescent="0.25">
      <c r="A135" s="70" t="s">
        <v>77</v>
      </c>
      <c r="B135" s="31" t="s">
        <v>121</v>
      </c>
      <c r="C135" s="53">
        <v>6</v>
      </c>
      <c r="D135" s="71" t="s">
        <v>204</v>
      </c>
      <c r="E135" s="44" t="s">
        <v>215</v>
      </c>
      <c r="F135" s="70" t="s">
        <v>66</v>
      </c>
      <c r="G135" s="72">
        <v>10</v>
      </c>
      <c r="H135" s="53" t="s">
        <v>207</v>
      </c>
      <c r="I135" s="73">
        <v>1</v>
      </c>
      <c r="J135" s="74">
        <f>IF($D135="무료",0,IF($D135="메뉴",0,IF($D135="프렙",IFERROR(VLOOKUP($E135,'② 프렙 원가'!$B$6:$F$16,5,FALSE),0),IFERROR(VLOOKUP($E135,'① 식재료 단가'!$B$6:$G$123,6,FALSE),0))))</f>
      </c>
      <c r="K135" s="75">
        <f>IF($D135="메뉴",ROUND($G135*$J135,1),IF($I135&gt;0,ROUND($G135/$I135*$J135,1),0))</f>
      </c>
      <c r="L135" s="54" t="s">
        <v>66</v>
      </c>
    </row>
    <row r="136" spans="1:12" x14ac:dyDescent="0.25">
      <c r="A136" s="70" t="s">
        <v>77</v>
      </c>
      <c r="B136" s="31" t="s">
        <v>121</v>
      </c>
      <c r="C136" s="53">
        <v>7</v>
      </c>
      <c r="D136" s="71" t="s">
        <v>204</v>
      </c>
      <c r="E136" s="44" t="s">
        <v>216</v>
      </c>
      <c r="F136" s="70" t="s">
        <v>66</v>
      </c>
      <c r="G136" s="72">
        <v>10</v>
      </c>
      <c r="H136" s="53" t="s">
        <v>207</v>
      </c>
      <c r="I136" s="73">
        <v>1</v>
      </c>
      <c r="J136" s="74">
        <f>IF($D136="무료",0,IF($D136="메뉴",0,IF($D136="프렙",IFERROR(VLOOKUP($E136,'② 프렙 원가'!$B$6:$F$16,5,FALSE),0),IFERROR(VLOOKUP($E136,'① 식재료 단가'!$B$6:$G$123,6,FALSE),0))))</f>
      </c>
      <c r="K136" s="75">
        <f>IF($D136="메뉴",ROUND($G136*$J136,1),IF($I136&gt;0,ROUND($G136/$I136*$J136,1),0))</f>
      </c>
      <c r="L136" s="54" t="s">
        <v>66</v>
      </c>
    </row>
    <row r="137" spans="1:12" x14ac:dyDescent="0.25">
      <c r="A137" s="70" t="s">
        <v>77</v>
      </c>
      <c r="B137" s="31" t="s">
        <v>121</v>
      </c>
      <c r="C137" s="53">
        <v>8</v>
      </c>
      <c r="D137" s="71" t="s">
        <v>204</v>
      </c>
      <c r="E137" s="44" t="s">
        <v>279</v>
      </c>
      <c r="F137" s="70" t="s">
        <v>66</v>
      </c>
      <c r="G137" s="72">
        <v>10</v>
      </c>
      <c r="H137" s="53" t="s">
        <v>207</v>
      </c>
      <c r="I137" s="73">
        <v>1</v>
      </c>
      <c r="J137" s="74">
        <f>IF($D137="무료",0,IF($D137="메뉴",0,IF($D137="프렙",IFERROR(VLOOKUP($E137,'② 프렙 원가'!$B$6:$F$16,5,FALSE),0),IFERROR(VLOOKUP($E137,'① 식재료 단가'!$B$6:$G$123,6,FALSE),0))))</f>
      </c>
      <c r="K137" s="75">
        <f>IF($D137="메뉴",ROUND($G137*$J137,1),IF($I137&gt;0,ROUND($G137/$I137*$J137,1),0))</f>
      </c>
      <c r="L137" s="54" t="s">
        <v>66</v>
      </c>
    </row>
    <row r="138" spans="1:12" x14ac:dyDescent="0.25">
      <c r="A138" s="77" t="s">
        <v>77</v>
      </c>
      <c r="B138" s="36" t="s">
        <v>122</v>
      </c>
      <c r="C138" s="63">
        <v>1</v>
      </c>
      <c r="D138" s="78" t="s">
        <v>204</v>
      </c>
      <c r="E138" s="49" t="s">
        <v>291</v>
      </c>
      <c r="F138" s="77" t="s">
        <v>66</v>
      </c>
      <c r="G138" s="72">
        <v>45</v>
      </c>
      <c r="H138" s="63" t="s">
        <v>207</v>
      </c>
      <c r="I138" s="73">
        <v>1</v>
      </c>
      <c r="J138" s="74">
        <f>IF($D138="무료",0,IF($D138="메뉴",0,IF($D138="프렙",IFERROR(VLOOKUP($E138,'② 프렙 원가'!$B$6:$F$16,5,FALSE),0),IFERROR(VLOOKUP($E138,'① 식재료 단가'!$B$6:$G$123,6,FALSE),0))))</f>
      </c>
      <c r="K138" s="75">
        <f>IF($D138="메뉴",ROUND($G138*$J138,1),IF($I138&gt;0,ROUND($G138/$I138*$J138,1),0))</f>
      </c>
      <c r="L138" s="64" t="s">
        <v>292</v>
      </c>
    </row>
    <row r="139" spans="1:12" x14ac:dyDescent="0.25">
      <c r="A139" s="77" t="s">
        <v>77</v>
      </c>
      <c r="B139" s="36" t="s">
        <v>122</v>
      </c>
      <c r="C139" s="63">
        <v>2</v>
      </c>
      <c r="D139" s="79" t="s">
        <v>209</v>
      </c>
      <c r="E139" s="49" t="s">
        <v>210</v>
      </c>
      <c r="F139" s="77" t="s">
        <v>66</v>
      </c>
      <c r="G139" s="72">
        <v>170</v>
      </c>
      <c r="H139" s="63" t="s">
        <v>207</v>
      </c>
      <c r="I139" s="73">
        <v>1</v>
      </c>
      <c r="J139" s="74">
        <f>IF($D139="무료",0,IF($D139="메뉴",0,IF($D139="프렙",IFERROR(VLOOKUP($E139,'② 프렙 원가'!$B$6:$F$16,5,FALSE),0),IFERROR(VLOOKUP($E139,'① 식재료 단가'!$B$6:$G$123,6,FALSE),0))))</f>
      </c>
      <c r="K139" s="75">
        <f>IF($D139="메뉴",ROUND($G139*$J139,1),IF($I139&gt;0,ROUND($G139/$I139*$J139,1),0))</f>
      </c>
      <c r="L139" s="64" t="s">
        <v>66</v>
      </c>
    </row>
    <row r="140" spans="1:12" x14ac:dyDescent="0.25">
      <c r="A140" s="77" t="s">
        <v>77</v>
      </c>
      <c r="B140" s="36" t="s">
        <v>122</v>
      </c>
      <c r="C140" s="63">
        <v>3</v>
      </c>
      <c r="D140" s="78" t="s">
        <v>204</v>
      </c>
      <c r="E140" s="49" t="s">
        <v>241</v>
      </c>
      <c r="F140" s="77" t="s">
        <v>66</v>
      </c>
      <c r="G140" s="72">
        <v>10</v>
      </c>
      <c r="H140" s="63" t="s">
        <v>207</v>
      </c>
      <c r="I140" s="73">
        <v>1</v>
      </c>
      <c r="J140" s="74">
        <f>IF($D140="무료",0,IF($D140="메뉴",0,IF($D140="프렙",IFERROR(VLOOKUP($E140,'② 프렙 원가'!$B$6:$F$16,5,FALSE),0),IFERROR(VLOOKUP($E140,'① 식재료 단가'!$B$6:$G$123,6,FALSE),0))))</f>
      </c>
      <c r="K140" s="75">
        <f>IF($D140="메뉴",ROUND($G140*$J140,1),IF($I140&gt;0,ROUND($G140/$I140*$J140,1),0))</f>
      </c>
      <c r="L140" s="64" t="s">
        <v>242</v>
      </c>
    </row>
    <row r="141" spans="1:12" x14ac:dyDescent="0.25">
      <c r="A141" s="77" t="s">
        <v>77</v>
      </c>
      <c r="B141" s="36" t="s">
        <v>122</v>
      </c>
      <c r="C141" s="63">
        <v>4</v>
      </c>
      <c r="D141" s="78" t="s">
        <v>204</v>
      </c>
      <c r="E141" s="49" t="s">
        <v>215</v>
      </c>
      <c r="F141" s="77" t="s">
        <v>66</v>
      </c>
      <c r="G141" s="72">
        <v>10</v>
      </c>
      <c r="H141" s="63" t="s">
        <v>207</v>
      </c>
      <c r="I141" s="73">
        <v>1</v>
      </c>
      <c r="J141" s="74">
        <f>IF($D141="무료",0,IF($D141="메뉴",0,IF($D141="프렙",IFERROR(VLOOKUP($E141,'② 프렙 원가'!$B$6:$F$16,5,FALSE),0),IFERROR(VLOOKUP($E141,'① 식재료 단가'!$B$6:$G$123,6,FALSE),0))))</f>
      </c>
      <c r="K141" s="75">
        <f>IF($D141="메뉴",ROUND($G141*$J141,1),IF($I141&gt;0,ROUND($G141/$I141*$J141,1),0))</f>
      </c>
      <c r="L141" s="64" t="s">
        <v>66</v>
      </c>
    </row>
    <row r="142" spans="1:12" x14ac:dyDescent="0.25">
      <c r="A142" s="77" t="s">
        <v>77</v>
      </c>
      <c r="B142" s="36" t="s">
        <v>122</v>
      </c>
      <c r="C142" s="63">
        <v>5</v>
      </c>
      <c r="D142" s="78" t="s">
        <v>204</v>
      </c>
      <c r="E142" s="49" t="s">
        <v>216</v>
      </c>
      <c r="F142" s="77" t="s">
        <v>66</v>
      </c>
      <c r="G142" s="72">
        <v>10</v>
      </c>
      <c r="H142" s="63" t="s">
        <v>207</v>
      </c>
      <c r="I142" s="73">
        <v>1</v>
      </c>
      <c r="J142" s="74">
        <f>IF($D142="무료",0,IF($D142="메뉴",0,IF($D142="프렙",IFERROR(VLOOKUP($E142,'② 프렙 원가'!$B$6:$F$16,5,FALSE),0),IFERROR(VLOOKUP($E142,'① 식재료 단가'!$B$6:$G$123,6,FALSE),0))))</f>
      </c>
      <c r="K142" s="75">
        <f>IF($D142="메뉴",ROUND($G142*$J142,1),IF($I142&gt;0,ROUND($G142/$I142*$J142,1),0))</f>
      </c>
      <c r="L142" s="64" t="s">
        <v>66</v>
      </c>
    </row>
    <row r="143" spans="1:12" x14ac:dyDescent="0.25">
      <c r="A143" s="77" t="s">
        <v>77</v>
      </c>
      <c r="B143" s="36" t="s">
        <v>122</v>
      </c>
      <c r="C143" s="63">
        <v>6</v>
      </c>
      <c r="D143" s="78" t="s">
        <v>204</v>
      </c>
      <c r="E143" s="49" t="s">
        <v>212</v>
      </c>
      <c r="F143" s="77" t="s">
        <v>293</v>
      </c>
      <c r="G143" s="72">
        <v>10</v>
      </c>
      <c r="H143" s="63" t="s">
        <v>207</v>
      </c>
      <c r="I143" s="73">
        <v>1</v>
      </c>
      <c r="J143" s="74">
        <f>IF($D143="무료",0,IF($D143="메뉴",0,IF($D143="프렙",IFERROR(VLOOKUP($E143,'② 프렙 원가'!$B$6:$F$16,5,FALSE),0),IFERROR(VLOOKUP($E143,'① 식재료 단가'!$B$6:$G$123,6,FALSE),0))))</f>
      </c>
      <c r="K143" s="75">
        <f>IF($D143="메뉴",ROUND($G143*$J143,1),IF($I143&gt;0,ROUND($G143/$I143*$J143,1),0))</f>
      </c>
      <c r="L143" s="64" t="s">
        <v>66</v>
      </c>
    </row>
    <row r="144" spans="1:12" x14ac:dyDescent="0.25">
      <c r="A144" s="70" t="s">
        <v>77</v>
      </c>
      <c r="B144" s="31" t="s">
        <v>123</v>
      </c>
      <c r="C144" s="53">
        <v>1</v>
      </c>
      <c r="D144" s="71" t="s">
        <v>204</v>
      </c>
      <c r="E144" s="44" t="s">
        <v>294</v>
      </c>
      <c r="F144" s="70" t="s">
        <v>295</v>
      </c>
      <c r="G144" s="72">
        <v>70</v>
      </c>
      <c r="H144" s="53" t="s">
        <v>207</v>
      </c>
      <c r="I144" s="73">
        <v>1</v>
      </c>
      <c r="J144" s="74">
        <f>IF($D144="무료",0,IF($D144="메뉴",0,IF($D144="프렙",IFERROR(VLOOKUP($E144,'② 프렙 원가'!$B$6:$F$16,5,FALSE),0),IFERROR(VLOOKUP($E144,'① 식재료 단가'!$B$6:$G$123,6,FALSE),0))))</f>
      </c>
      <c r="K144" s="75">
        <f>IF($D144="메뉴",ROUND($G144*$J144,1),IF($I144&gt;0,ROUND($G144/$I144*$J144,1),0))</f>
      </c>
      <c r="L144" s="54" t="s">
        <v>292</v>
      </c>
    </row>
    <row r="145" spans="1:12" x14ac:dyDescent="0.25">
      <c r="A145" s="70" t="s">
        <v>77</v>
      </c>
      <c r="B145" s="31" t="s">
        <v>123</v>
      </c>
      <c r="C145" s="53">
        <v>2</v>
      </c>
      <c r="D145" s="76" t="s">
        <v>209</v>
      </c>
      <c r="E145" s="44" t="s">
        <v>210</v>
      </c>
      <c r="F145" s="70" t="s">
        <v>66</v>
      </c>
      <c r="G145" s="72">
        <v>135</v>
      </c>
      <c r="H145" s="53" t="s">
        <v>207</v>
      </c>
      <c r="I145" s="73">
        <v>1</v>
      </c>
      <c r="J145" s="74">
        <f>IF($D145="무료",0,IF($D145="메뉴",0,IF($D145="프렙",IFERROR(VLOOKUP($E145,'② 프렙 원가'!$B$6:$F$16,5,FALSE),0),IFERROR(VLOOKUP($E145,'① 식재료 단가'!$B$6:$G$123,6,FALSE),0))))</f>
      </c>
      <c r="K145" s="75">
        <f>IF($D145="메뉴",ROUND($G145*$J145,1),IF($I145&gt;0,ROUND($G145/$I145*$J145,1),0))</f>
      </c>
      <c r="L145" s="54" t="s">
        <v>66</v>
      </c>
    </row>
    <row r="146" spans="1:12" x14ac:dyDescent="0.25">
      <c r="A146" s="70" t="s">
        <v>77</v>
      </c>
      <c r="B146" s="31" t="s">
        <v>123</v>
      </c>
      <c r="C146" s="53">
        <v>3</v>
      </c>
      <c r="D146" s="71" t="s">
        <v>204</v>
      </c>
      <c r="E146" s="44" t="s">
        <v>246</v>
      </c>
      <c r="F146" s="70" t="s">
        <v>247</v>
      </c>
      <c r="G146" s="72">
        <v>10</v>
      </c>
      <c r="H146" s="53" t="s">
        <v>207</v>
      </c>
      <c r="I146" s="73">
        <v>1</v>
      </c>
      <c r="J146" s="74">
        <f>IF($D146="무료",0,IF($D146="메뉴",0,IF($D146="프렙",IFERROR(VLOOKUP($E146,'② 프렙 원가'!$B$6:$F$16,5,FALSE),0),IFERROR(VLOOKUP($E146,'① 식재료 단가'!$B$6:$G$123,6,FALSE),0))))</f>
      </c>
      <c r="K146" s="75">
        <f>IF($D146="메뉴",ROUND($G146*$J146,1),IF($I146&gt;0,ROUND($G146/$I146*$J146,1),0))</f>
      </c>
      <c r="L146" s="54" t="s">
        <v>66</v>
      </c>
    </row>
    <row r="147" spans="1:12" x14ac:dyDescent="0.25">
      <c r="A147" s="70" t="s">
        <v>77</v>
      </c>
      <c r="B147" s="31" t="s">
        <v>123</v>
      </c>
      <c r="C147" s="53">
        <v>4</v>
      </c>
      <c r="D147" s="71" t="s">
        <v>204</v>
      </c>
      <c r="E147" s="44" t="s">
        <v>243</v>
      </c>
      <c r="F147" s="70" t="s">
        <v>66</v>
      </c>
      <c r="G147" s="72">
        <v>15</v>
      </c>
      <c r="H147" s="53" t="s">
        <v>207</v>
      </c>
      <c r="I147" s="73">
        <v>1</v>
      </c>
      <c r="J147" s="74">
        <f>IF($D147="무료",0,IF($D147="메뉴",0,IF($D147="프렙",IFERROR(VLOOKUP($E147,'② 프렙 원가'!$B$6:$F$16,5,FALSE),0),IFERROR(VLOOKUP($E147,'① 식재료 단가'!$B$6:$G$123,6,FALSE),0))))</f>
      </c>
      <c r="K147" s="75">
        <f>IF($D147="메뉴",ROUND($G147*$J147,1),IF($I147&gt;0,ROUND($G147/$I147*$J147,1),0))</f>
      </c>
      <c r="L147" s="54" t="s">
        <v>66</v>
      </c>
    </row>
    <row r="148" spans="1:12" x14ac:dyDescent="0.25">
      <c r="A148" s="70" t="s">
        <v>77</v>
      </c>
      <c r="B148" s="31" t="s">
        <v>123</v>
      </c>
      <c r="C148" s="53">
        <v>5</v>
      </c>
      <c r="D148" s="71" t="s">
        <v>204</v>
      </c>
      <c r="E148" s="44" t="s">
        <v>215</v>
      </c>
      <c r="F148" s="70" t="s">
        <v>66</v>
      </c>
      <c r="G148" s="72">
        <v>5</v>
      </c>
      <c r="H148" s="53" t="s">
        <v>207</v>
      </c>
      <c r="I148" s="73">
        <v>1</v>
      </c>
      <c r="J148" s="74">
        <f>IF($D148="무료",0,IF($D148="메뉴",0,IF($D148="프렙",IFERROR(VLOOKUP($E148,'② 프렙 원가'!$B$6:$F$16,5,FALSE),0),IFERROR(VLOOKUP($E148,'① 식재료 단가'!$B$6:$G$123,6,FALSE),0))))</f>
      </c>
      <c r="K148" s="75">
        <f>IF($D148="메뉴",ROUND($G148*$J148,1),IF($I148&gt;0,ROUND($G148/$I148*$J148,1),0))</f>
      </c>
      <c r="L148" s="54" t="s">
        <v>66</v>
      </c>
    </row>
    <row r="149" spans="1:12" x14ac:dyDescent="0.25">
      <c r="A149" s="70" t="s">
        <v>77</v>
      </c>
      <c r="B149" s="31" t="s">
        <v>123</v>
      </c>
      <c r="C149" s="53">
        <v>6</v>
      </c>
      <c r="D149" s="71" t="s">
        <v>204</v>
      </c>
      <c r="E149" s="44" t="s">
        <v>216</v>
      </c>
      <c r="F149" s="70" t="s">
        <v>66</v>
      </c>
      <c r="G149" s="72">
        <v>10</v>
      </c>
      <c r="H149" s="53" t="s">
        <v>207</v>
      </c>
      <c r="I149" s="73">
        <v>1</v>
      </c>
      <c r="J149" s="74">
        <f>IF($D149="무료",0,IF($D149="메뉴",0,IF($D149="프렙",IFERROR(VLOOKUP($E149,'② 프렙 원가'!$B$6:$F$16,5,FALSE),0),IFERROR(VLOOKUP($E149,'① 식재료 단가'!$B$6:$G$123,6,FALSE),0))))</f>
      </c>
      <c r="K149" s="75">
        <f>IF($D149="메뉴",ROUND($G149*$J149,1),IF($I149&gt;0,ROUND($G149/$I149*$J149,1),0))</f>
      </c>
      <c r="L149" s="54" t="s">
        <v>66</v>
      </c>
    </row>
    <row r="150" spans="1:12" x14ac:dyDescent="0.25">
      <c r="A150" s="70" t="s">
        <v>77</v>
      </c>
      <c r="B150" s="31" t="s">
        <v>123</v>
      </c>
      <c r="C150" s="53">
        <v>7</v>
      </c>
      <c r="D150" s="71" t="s">
        <v>204</v>
      </c>
      <c r="E150" s="44" t="s">
        <v>287</v>
      </c>
      <c r="F150" s="70" t="s">
        <v>66</v>
      </c>
      <c r="G150" s="72">
        <v>5</v>
      </c>
      <c r="H150" s="53" t="s">
        <v>207</v>
      </c>
      <c r="I150" s="73">
        <v>1</v>
      </c>
      <c r="J150" s="74">
        <f>IF($D150="무료",0,IF($D150="메뉴",0,IF($D150="프렙",IFERROR(VLOOKUP($E150,'② 프렙 원가'!$B$6:$F$16,5,FALSE),0),IFERROR(VLOOKUP($E150,'① 식재료 단가'!$B$6:$G$123,6,FALSE),0))))</f>
      </c>
      <c r="K150" s="75">
        <f>IF($D150="메뉴",ROUND($G150*$J150,1),IF($I150&gt;0,ROUND($G150/$I150*$J150,1),0))</f>
      </c>
      <c r="L150" s="54" t="s">
        <v>296</v>
      </c>
    </row>
    <row r="151" spans="1:12" x14ac:dyDescent="0.25">
      <c r="A151" s="77" t="s">
        <v>78</v>
      </c>
      <c r="B151" s="36" t="s">
        <v>124</v>
      </c>
      <c r="C151" s="63">
        <v>1</v>
      </c>
      <c r="D151" s="78" t="s">
        <v>204</v>
      </c>
      <c r="E151" s="49" t="s">
        <v>212</v>
      </c>
      <c r="F151" s="77" t="s">
        <v>213</v>
      </c>
      <c r="G151" s="72">
        <v>15</v>
      </c>
      <c r="H151" s="63" t="s">
        <v>207</v>
      </c>
      <c r="I151" s="73">
        <v>1</v>
      </c>
      <c r="J151" s="74">
        <f>IF($D151="무료",0,IF($D151="메뉴",0,IF($D151="프렙",IFERROR(VLOOKUP($E151,'② 프렙 원가'!$B$6:$F$16,5,FALSE),0),IFERROR(VLOOKUP($E151,'① 식재료 단가'!$B$6:$G$123,6,FALSE),0))))</f>
      </c>
      <c r="K151" s="75">
        <f>IF($D151="메뉴",ROUND($G151*$J151,1),IF($I151&gt;0,ROUND($G151/$I151*$J151,1),0))</f>
      </c>
      <c r="L151" s="64" t="s">
        <v>66</v>
      </c>
    </row>
    <row r="152" spans="1:12" x14ac:dyDescent="0.25">
      <c r="A152" s="77" t="s">
        <v>78</v>
      </c>
      <c r="B152" s="36" t="s">
        <v>124</v>
      </c>
      <c r="C152" s="63">
        <v>2</v>
      </c>
      <c r="D152" s="79" t="s">
        <v>209</v>
      </c>
      <c r="E152" s="49" t="s">
        <v>297</v>
      </c>
      <c r="F152" s="77" t="s">
        <v>66</v>
      </c>
      <c r="G152" s="72">
        <v>210</v>
      </c>
      <c r="H152" s="63" t="s">
        <v>207</v>
      </c>
      <c r="I152" s="73">
        <v>1</v>
      </c>
      <c r="J152" s="74">
        <f>IF($D152="무료",0,IF($D152="메뉴",0,IF($D152="프렙",IFERROR(VLOOKUP($E152,'② 프렙 원가'!$B$6:$F$16,5,FALSE),0),IFERROR(VLOOKUP($E152,'① 식재료 단가'!$B$6:$G$123,6,FALSE),0))))</f>
      </c>
      <c r="K152" s="75">
        <f>IF($D152="메뉴",ROUND($G152*$J152,1),IF($I152&gt;0,ROUND($G152/$I152*$J152,1),0))</f>
      </c>
      <c r="L152" s="64" t="s">
        <v>298</v>
      </c>
    </row>
    <row r="153" spans="1:12" x14ac:dyDescent="0.25">
      <c r="A153" s="77" t="s">
        <v>78</v>
      </c>
      <c r="B153" s="36" t="s">
        <v>124</v>
      </c>
      <c r="C153" s="63">
        <v>3</v>
      </c>
      <c r="D153" s="78" t="s">
        <v>204</v>
      </c>
      <c r="E153" s="49" t="s">
        <v>215</v>
      </c>
      <c r="F153" s="77" t="s">
        <v>66</v>
      </c>
      <c r="G153" s="72">
        <v>15</v>
      </c>
      <c r="H153" s="63" t="s">
        <v>207</v>
      </c>
      <c r="I153" s="73">
        <v>1</v>
      </c>
      <c r="J153" s="74">
        <f>IF($D153="무료",0,IF($D153="메뉴",0,IF($D153="프렙",IFERROR(VLOOKUP($E153,'② 프렙 원가'!$B$6:$F$16,5,FALSE),0),IFERROR(VLOOKUP($E153,'① 식재료 단가'!$B$6:$G$123,6,FALSE),0))))</f>
      </c>
      <c r="K153" s="75">
        <f>IF($D153="메뉴",ROUND($G153*$J153,1),IF($I153&gt;0,ROUND($G153/$I153*$J153,1),0))</f>
      </c>
      <c r="L153" s="64" t="s">
        <v>66</v>
      </c>
    </row>
    <row r="154" spans="1:12" x14ac:dyDescent="0.25">
      <c r="A154" s="77" t="s">
        <v>78</v>
      </c>
      <c r="B154" s="36" t="s">
        <v>124</v>
      </c>
      <c r="C154" s="63">
        <v>4</v>
      </c>
      <c r="D154" s="78" t="s">
        <v>204</v>
      </c>
      <c r="E154" s="49" t="s">
        <v>216</v>
      </c>
      <c r="F154" s="77" t="s">
        <v>66</v>
      </c>
      <c r="G154" s="72">
        <v>5</v>
      </c>
      <c r="H154" s="63" t="s">
        <v>207</v>
      </c>
      <c r="I154" s="73">
        <v>1</v>
      </c>
      <c r="J154" s="74">
        <f>IF($D154="무료",0,IF($D154="메뉴",0,IF($D154="프렙",IFERROR(VLOOKUP($E154,'② 프렙 원가'!$B$6:$F$16,5,FALSE),0),IFERROR(VLOOKUP($E154,'① 식재료 단가'!$B$6:$G$123,6,FALSE),0))))</f>
      </c>
      <c r="K154" s="75">
        <f>IF($D154="메뉴",ROUND($G154*$J154,1),IF($I154&gt;0,ROUND($G154/$I154*$J154,1),0))</f>
      </c>
      <c r="L154" s="64" t="s">
        <v>66</v>
      </c>
    </row>
    <row r="155" spans="1:12" x14ac:dyDescent="0.25">
      <c r="A155" s="70" t="s">
        <v>78</v>
      </c>
      <c r="B155" s="31" t="s">
        <v>125</v>
      </c>
      <c r="C155" s="53">
        <v>1</v>
      </c>
      <c r="D155" s="76" t="s">
        <v>209</v>
      </c>
      <c r="E155" s="44" t="s">
        <v>297</v>
      </c>
      <c r="F155" s="70" t="s">
        <v>66</v>
      </c>
      <c r="G155" s="72">
        <v>190</v>
      </c>
      <c r="H155" s="53" t="s">
        <v>207</v>
      </c>
      <c r="I155" s="73">
        <v>1</v>
      </c>
      <c r="J155" s="74">
        <f>IF($D155="무료",0,IF($D155="메뉴",0,IF($D155="프렙",IFERROR(VLOOKUP($E155,'② 프렙 원가'!$B$6:$F$16,5,FALSE),0),IFERROR(VLOOKUP($E155,'① 식재료 단가'!$B$6:$G$123,6,FALSE),0))))</f>
      </c>
      <c r="K155" s="75">
        <f>IF($D155="메뉴",ROUND($G155*$J155,1),IF($I155&gt;0,ROUND($G155/$I155*$J155,1),0))</f>
      </c>
      <c r="L155" s="54" t="s">
        <v>299</v>
      </c>
    </row>
    <row r="156" spans="1:12" x14ac:dyDescent="0.25">
      <c r="A156" s="70" t="s">
        <v>78</v>
      </c>
      <c r="B156" s="31" t="s">
        <v>125</v>
      </c>
      <c r="C156" s="53">
        <v>2</v>
      </c>
      <c r="D156" s="71" t="s">
        <v>204</v>
      </c>
      <c r="E156" s="44" t="s">
        <v>215</v>
      </c>
      <c r="F156" s="70" t="s">
        <v>66</v>
      </c>
      <c r="G156" s="72">
        <v>15</v>
      </c>
      <c r="H156" s="53" t="s">
        <v>207</v>
      </c>
      <c r="I156" s="73">
        <v>1</v>
      </c>
      <c r="J156" s="74">
        <f>IF($D156="무료",0,IF($D156="메뉴",0,IF($D156="프렙",IFERROR(VLOOKUP($E156,'② 프렙 원가'!$B$6:$F$16,5,FALSE),0),IFERROR(VLOOKUP($E156,'① 식재료 단가'!$B$6:$G$123,6,FALSE),0))))</f>
      </c>
      <c r="K156" s="75">
        <f>IF($D156="메뉴",ROUND($G156*$J156,1),IF($I156&gt;0,ROUND($G156/$I156*$J156,1),0))</f>
      </c>
      <c r="L156" s="54" t="s">
        <v>66</v>
      </c>
    </row>
    <row r="157" spans="1:12" x14ac:dyDescent="0.25">
      <c r="A157" s="70" t="s">
        <v>78</v>
      </c>
      <c r="B157" s="31" t="s">
        <v>125</v>
      </c>
      <c r="C157" s="53">
        <v>3</v>
      </c>
      <c r="D157" s="71" t="s">
        <v>204</v>
      </c>
      <c r="E157" s="44" t="s">
        <v>234</v>
      </c>
      <c r="F157" s="70" t="s">
        <v>66</v>
      </c>
      <c r="G157" s="72">
        <v>20</v>
      </c>
      <c r="H157" s="53" t="s">
        <v>207</v>
      </c>
      <c r="I157" s="73">
        <v>1</v>
      </c>
      <c r="J157" s="74">
        <f>IF($D157="무료",0,IF($D157="메뉴",0,IF($D157="프렙",IFERROR(VLOOKUP($E157,'② 프렙 원가'!$B$6:$F$16,5,FALSE),0),IFERROR(VLOOKUP($E157,'① 식재료 단가'!$B$6:$G$123,6,FALSE),0))))</f>
      </c>
      <c r="K157" s="75">
        <f>IF($D157="메뉴",ROUND($G157*$J157,1),IF($I157&gt;0,ROUND($G157/$I157*$J157,1),0))</f>
      </c>
      <c r="L157" s="54" t="s">
        <v>271</v>
      </c>
    </row>
    <row r="158" spans="1:12" x14ac:dyDescent="0.25">
      <c r="A158" s="70" t="s">
        <v>78</v>
      </c>
      <c r="B158" s="31" t="s">
        <v>125</v>
      </c>
      <c r="C158" s="53">
        <v>4</v>
      </c>
      <c r="D158" s="71" t="s">
        <v>204</v>
      </c>
      <c r="E158" s="44" t="s">
        <v>300</v>
      </c>
      <c r="F158" s="70" t="s">
        <v>66</v>
      </c>
      <c r="G158" s="72">
        <v>10</v>
      </c>
      <c r="H158" s="53" t="s">
        <v>207</v>
      </c>
      <c r="I158" s="73">
        <v>1</v>
      </c>
      <c r="J158" s="74">
        <f>IF($D158="무료",0,IF($D158="메뉴",0,IF($D158="프렙",IFERROR(VLOOKUP($E158,'② 프렙 원가'!$B$6:$F$16,5,FALSE),0),IFERROR(VLOOKUP($E158,'① 식재료 단가'!$B$6:$G$123,6,FALSE),0))))</f>
      </c>
      <c r="K158" s="75">
        <f>IF($D158="메뉴",ROUND($G158*$J158,1),IF($I158&gt;0,ROUND($G158/$I158*$J158,1),0))</f>
      </c>
      <c r="L158" s="54" t="s">
        <v>242</v>
      </c>
    </row>
    <row r="159" spans="1:12" x14ac:dyDescent="0.25">
      <c r="A159" s="70" t="s">
        <v>78</v>
      </c>
      <c r="B159" s="31" t="s">
        <v>125</v>
      </c>
      <c r="C159" s="53">
        <v>5</v>
      </c>
      <c r="D159" s="71" t="s">
        <v>204</v>
      </c>
      <c r="E159" s="44" t="s">
        <v>301</v>
      </c>
      <c r="F159" s="70" t="s">
        <v>302</v>
      </c>
      <c r="G159" s="72">
        <v>2</v>
      </c>
      <c r="H159" s="53" t="s">
        <v>207</v>
      </c>
      <c r="I159" s="73">
        <v>1</v>
      </c>
      <c r="J159" s="74">
        <f>IF($D159="무료",0,IF($D159="메뉴",0,IF($D159="프렙",IFERROR(VLOOKUP($E159,'② 프렙 원가'!$B$6:$F$16,5,FALSE),0),IFERROR(VLOOKUP($E159,'① 식재료 단가'!$B$6:$G$123,6,FALSE),0))))</f>
      </c>
      <c r="K159" s="75">
        <f>IF($D159="메뉴",ROUND($G159*$J159,1),IF($I159&gt;0,ROUND($G159/$I159*$J159,1),0))</f>
      </c>
      <c r="L159" s="54" t="s">
        <v>66</v>
      </c>
    </row>
    <row r="160" spans="1:12" x14ac:dyDescent="0.25">
      <c r="A160" s="70" t="s">
        <v>78</v>
      </c>
      <c r="B160" s="31" t="s">
        <v>125</v>
      </c>
      <c r="C160" s="53">
        <v>6</v>
      </c>
      <c r="D160" s="71" t="s">
        <v>204</v>
      </c>
      <c r="E160" s="44" t="s">
        <v>275</v>
      </c>
      <c r="F160" s="70" t="s">
        <v>303</v>
      </c>
      <c r="G160" s="72">
        <v>3</v>
      </c>
      <c r="H160" s="53" t="s">
        <v>207</v>
      </c>
      <c r="I160" s="73">
        <v>1</v>
      </c>
      <c r="J160" s="74">
        <f>IF($D160="무료",0,IF($D160="메뉴",0,IF($D160="프렙",IFERROR(VLOOKUP($E160,'② 프렙 원가'!$B$6:$F$16,5,FALSE),0),IFERROR(VLOOKUP($E160,'① 식재료 단가'!$B$6:$G$123,6,FALSE),0))))</f>
      </c>
      <c r="K160" s="75">
        <f>IF($D160="메뉴",ROUND($G160*$J160,1),IF($I160&gt;0,ROUND($G160/$I160*$J160,1),0))</f>
      </c>
      <c r="L160" s="54" t="s">
        <v>66</v>
      </c>
    </row>
    <row r="161" spans="1:12" x14ac:dyDescent="0.25">
      <c r="A161" s="70" t="s">
        <v>78</v>
      </c>
      <c r="B161" s="31" t="s">
        <v>125</v>
      </c>
      <c r="C161" s="53">
        <v>7</v>
      </c>
      <c r="D161" s="71" t="s">
        <v>204</v>
      </c>
      <c r="E161" s="44" t="s">
        <v>216</v>
      </c>
      <c r="F161" s="70" t="s">
        <v>66</v>
      </c>
      <c r="G161" s="72">
        <v>10</v>
      </c>
      <c r="H161" s="53" t="s">
        <v>207</v>
      </c>
      <c r="I161" s="73">
        <v>1</v>
      </c>
      <c r="J161" s="74">
        <f>IF($D161="무료",0,IF($D161="메뉴",0,IF($D161="프렙",IFERROR(VLOOKUP($E161,'② 프렙 원가'!$B$6:$F$16,5,FALSE),0),IFERROR(VLOOKUP($E161,'① 식재료 단가'!$B$6:$G$123,6,FALSE),0))))</f>
      </c>
      <c r="K161" s="75">
        <f>IF($D161="메뉴",ROUND($G161*$J161,1),IF($I161&gt;0,ROUND($G161/$I161*$J161,1),0))</f>
      </c>
      <c r="L161" s="54" t="s">
        <v>66</v>
      </c>
    </row>
    <row r="162" spans="1:12" x14ac:dyDescent="0.25">
      <c r="A162" s="77" t="s">
        <v>78</v>
      </c>
      <c r="B162" s="36" t="s">
        <v>126</v>
      </c>
      <c r="C162" s="63">
        <v>1</v>
      </c>
      <c r="D162" s="79" t="s">
        <v>209</v>
      </c>
      <c r="E162" s="49" t="s">
        <v>265</v>
      </c>
      <c r="F162" s="77" t="s">
        <v>304</v>
      </c>
      <c r="G162" s="72">
        <v>80</v>
      </c>
      <c r="H162" s="63" t="s">
        <v>207</v>
      </c>
      <c r="I162" s="73">
        <v>1</v>
      </c>
      <c r="J162" s="74">
        <f>IF($D162="무료",0,IF($D162="메뉴",0,IF($D162="프렙",IFERROR(VLOOKUP($E162,'② 프렙 원가'!$B$6:$F$16,5,FALSE),0),IFERROR(VLOOKUP($E162,'① 식재료 단가'!$B$6:$G$123,6,FALSE),0))))</f>
      </c>
      <c r="K162" s="75">
        <f>IF($D162="메뉴",ROUND($G162*$J162,1),IF($I162&gt;0,ROUND($G162/$I162*$J162,1),0))</f>
      </c>
      <c r="L162" s="64" t="s">
        <v>230</v>
      </c>
    </row>
    <row r="163" spans="1:12" x14ac:dyDescent="0.25">
      <c r="A163" s="77" t="s">
        <v>78</v>
      </c>
      <c r="B163" s="36" t="s">
        <v>126</v>
      </c>
      <c r="C163" s="63">
        <v>2</v>
      </c>
      <c r="D163" s="78" t="s">
        <v>204</v>
      </c>
      <c r="E163" s="49" t="s">
        <v>245</v>
      </c>
      <c r="F163" s="77" t="s">
        <v>66</v>
      </c>
      <c r="G163" s="72">
        <v>50</v>
      </c>
      <c r="H163" s="63" t="s">
        <v>207</v>
      </c>
      <c r="I163" s="73">
        <v>1</v>
      </c>
      <c r="J163" s="74">
        <f>IF($D163="무료",0,IF($D163="메뉴",0,IF($D163="프렙",IFERROR(VLOOKUP($E163,'② 프렙 원가'!$B$6:$F$16,5,FALSE),0),IFERROR(VLOOKUP($E163,'① 식재료 단가'!$B$6:$G$123,6,FALSE),0))))</f>
      </c>
      <c r="K163" s="75">
        <f>IF($D163="메뉴",ROUND($G163*$J163,1),IF($I163&gt;0,ROUND($G163/$I163*$J163,1),0))</f>
      </c>
      <c r="L163" s="64" t="s">
        <v>305</v>
      </c>
    </row>
    <row r="164" spans="1:12" x14ac:dyDescent="0.25">
      <c r="A164" s="77" t="s">
        <v>78</v>
      </c>
      <c r="B164" s="36" t="s">
        <v>126</v>
      </c>
      <c r="C164" s="63">
        <v>3</v>
      </c>
      <c r="D164" s="79" t="s">
        <v>209</v>
      </c>
      <c r="E164" s="49" t="s">
        <v>210</v>
      </c>
      <c r="F164" s="77" t="s">
        <v>66</v>
      </c>
      <c r="G164" s="72">
        <v>200</v>
      </c>
      <c r="H164" s="63" t="s">
        <v>207</v>
      </c>
      <c r="I164" s="73">
        <v>1</v>
      </c>
      <c r="J164" s="74">
        <f>IF($D164="무료",0,IF($D164="메뉴",0,IF($D164="프렙",IFERROR(VLOOKUP($E164,'② 프렙 원가'!$B$6:$F$16,5,FALSE),0),IFERROR(VLOOKUP($E164,'① 식재료 단가'!$B$6:$G$123,6,FALSE),0))))</f>
      </c>
      <c r="K164" s="75">
        <f>IF($D164="메뉴",ROUND($G164*$J164,1),IF($I164&gt;0,ROUND($G164/$I164*$J164,1),0))</f>
      </c>
      <c r="L164" s="64" t="s">
        <v>66</v>
      </c>
    </row>
    <row r="165" spans="1:12" x14ac:dyDescent="0.25">
      <c r="A165" s="77" t="s">
        <v>78</v>
      </c>
      <c r="B165" s="36" t="s">
        <v>126</v>
      </c>
      <c r="C165" s="63">
        <v>4</v>
      </c>
      <c r="D165" s="78" t="s">
        <v>204</v>
      </c>
      <c r="E165" s="49" t="s">
        <v>241</v>
      </c>
      <c r="F165" s="77" t="s">
        <v>66</v>
      </c>
      <c r="G165" s="72">
        <v>10</v>
      </c>
      <c r="H165" s="63" t="s">
        <v>207</v>
      </c>
      <c r="I165" s="73">
        <v>1</v>
      </c>
      <c r="J165" s="74">
        <f>IF($D165="무료",0,IF($D165="메뉴",0,IF($D165="프렙",IFERROR(VLOOKUP($E165,'② 프렙 원가'!$B$6:$F$16,5,FALSE),0),IFERROR(VLOOKUP($E165,'① 식재료 단가'!$B$6:$G$123,6,FALSE),0))))</f>
      </c>
      <c r="K165" s="75">
        <f>IF($D165="메뉴",ROUND($G165*$J165,1),IF($I165&gt;0,ROUND($G165/$I165*$J165,1),0))</f>
      </c>
      <c r="L165" s="64" t="s">
        <v>242</v>
      </c>
    </row>
    <row r="166" spans="1:12" x14ac:dyDescent="0.25">
      <c r="A166" s="77" t="s">
        <v>78</v>
      </c>
      <c r="B166" s="36" t="s">
        <v>126</v>
      </c>
      <c r="C166" s="63">
        <v>5</v>
      </c>
      <c r="D166" s="78" t="s">
        <v>204</v>
      </c>
      <c r="E166" s="49" t="s">
        <v>215</v>
      </c>
      <c r="F166" s="77" t="s">
        <v>66</v>
      </c>
      <c r="G166" s="72">
        <v>10</v>
      </c>
      <c r="H166" s="63" t="s">
        <v>207</v>
      </c>
      <c r="I166" s="73">
        <v>1</v>
      </c>
      <c r="J166" s="74">
        <f>IF($D166="무료",0,IF($D166="메뉴",0,IF($D166="프렙",IFERROR(VLOOKUP($E166,'② 프렙 원가'!$B$6:$F$16,5,FALSE),0),IFERROR(VLOOKUP($E166,'① 식재료 단가'!$B$6:$G$123,6,FALSE),0))))</f>
      </c>
      <c r="K166" s="75">
        <f>IF($D166="메뉴",ROUND($G166*$J166,1),IF($I166&gt;0,ROUND($G166/$I166*$J166,1),0))</f>
      </c>
      <c r="L166" s="64" t="s">
        <v>66</v>
      </c>
    </row>
    <row r="167" spans="1:12" x14ac:dyDescent="0.25">
      <c r="A167" s="77" t="s">
        <v>78</v>
      </c>
      <c r="B167" s="36" t="s">
        <v>126</v>
      </c>
      <c r="C167" s="63">
        <v>6</v>
      </c>
      <c r="D167" s="78" t="s">
        <v>204</v>
      </c>
      <c r="E167" s="49" t="s">
        <v>216</v>
      </c>
      <c r="F167" s="77" t="s">
        <v>66</v>
      </c>
      <c r="G167" s="72">
        <v>10</v>
      </c>
      <c r="H167" s="63" t="s">
        <v>207</v>
      </c>
      <c r="I167" s="73">
        <v>1</v>
      </c>
      <c r="J167" s="74">
        <f>IF($D167="무료",0,IF($D167="메뉴",0,IF($D167="프렙",IFERROR(VLOOKUP($E167,'② 프렙 원가'!$B$6:$F$16,5,FALSE),0),IFERROR(VLOOKUP($E167,'① 식재료 단가'!$B$6:$G$123,6,FALSE),0))))</f>
      </c>
      <c r="K167" s="75">
        <f>IF($D167="메뉴",ROUND($G167*$J167,1),IF($I167&gt;0,ROUND($G167/$I167*$J167,1),0))</f>
      </c>
      <c r="L167" s="64" t="s">
        <v>66</v>
      </c>
    </row>
    <row r="168" spans="1:12" x14ac:dyDescent="0.25">
      <c r="A168" s="70" t="s">
        <v>78</v>
      </c>
      <c r="B168" s="31" t="s">
        <v>127</v>
      </c>
      <c r="C168" s="53">
        <v>1</v>
      </c>
      <c r="D168" s="71" t="s">
        <v>204</v>
      </c>
      <c r="E168" s="44" t="s">
        <v>306</v>
      </c>
      <c r="F168" s="70" t="s">
        <v>66</v>
      </c>
      <c r="G168" s="72">
        <v>35</v>
      </c>
      <c r="H168" s="53" t="s">
        <v>207</v>
      </c>
      <c r="I168" s="73">
        <v>1</v>
      </c>
      <c r="J168" s="74">
        <f>IF($D168="무료",0,IF($D168="메뉴",0,IF($D168="프렙",IFERROR(VLOOKUP($E168,'② 프렙 원가'!$B$6:$F$16,5,FALSE),0),IFERROR(VLOOKUP($E168,'① 식재료 단가'!$B$6:$G$123,6,FALSE),0))))</f>
      </c>
      <c r="K168" s="75">
        <f>IF($D168="메뉴",ROUND($G168*$J168,1),IF($I168&gt;0,ROUND($G168/$I168*$J168,1),0))</f>
      </c>
      <c r="L168" s="54" t="s">
        <v>307</v>
      </c>
    </row>
    <row r="169" spans="1:12" x14ac:dyDescent="0.25">
      <c r="A169" s="70" t="s">
        <v>78</v>
      </c>
      <c r="B169" s="31" t="s">
        <v>127</v>
      </c>
      <c r="C169" s="53">
        <v>2</v>
      </c>
      <c r="D169" s="71" t="s">
        <v>204</v>
      </c>
      <c r="E169" s="44" t="s">
        <v>231</v>
      </c>
      <c r="F169" s="70" t="s">
        <v>66</v>
      </c>
      <c r="G169" s="72">
        <v>5</v>
      </c>
      <c r="H169" s="53" t="s">
        <v>207</v>
      </c>
      <c r="I169" s="73">
        <v>1</v>
      </c>
      <c r="J169" s="74">
        <f>IF($D169="무료",0,IF($D169="메뉴",0,IF($D169="프렙",IFERROR(VLOOKUP($E169,'② 프렙 원가'!$B$6:$F$16,5,FALSE),0),IFERROR(VLOOKUP($E169,'① 식재료 단가'!$B$6:$G$123,6,FALSE),0))))</f>
      </c>
      <c r="K169" s="75">
        <f>IF($D169="메뉴",ROUND($G169*$J169,1),IF($I169&gt;0,ROUND($G169/$I169*$J169,1),0))</f>
      </c>
      <c r="L169" s="54" t="s">
        <v>66</v>
      </c>
    </row>
    <row r="170" spans="1:12" x14ac:dyDescent="0.25">
      <c r="A170" s="70" t="s">
        <v>78</v>
      </c>
      <c r="B170" s="31" t="s">
        <v>127</v>
      </c>
      <c r="C170" s="53">
        <v>3</v>
      </c>
      <c r="D170" s="71" t="s">
        <v>204</v>
      </c>
      <c r="E170" s="44" t="s">
        <v>308</v>
      </c>
      <c r="F170" s="70" t="s">
        <v>66</v>
      </c>
      <c r="G170" s="72">
        <v>5</v>
      </c>
      <c r="H170" s="53" t="s">
        <v>207</v>
      </c>
      <c r="I170" s="73">
        <v>1</v>
      </c>
      <c r="J170" s="74">
        <f>IF($D170="무료",0,IF($D170="메뉴",0,IF($D170="프렙",IFERROR(VLOOKUP($E170,'② 프렙 원가'!$B$6:$F$16,5,FALSE),0),IFERROR(VLOOKUP($E170,'① 식재료 단가'!$B$6:$G$123,6,FALSE),0))))</f>
      </c>
      <c r="K170" s="75">
        <f>IF($D170="메뉴",ROUND($G170*$J170,1),IF($I170&gt;0,ROUND($G170/$I170*$J170,1),0))</f>
      </c>
      <c r="L170" s="54" t="s">
        <v>309</v>
      </c>
    </row>
    <row r="171" spans="1:12" x14ac:dyDescent="0.25">
      <c r="A171" s="70" t="s">
        <v>78</v>
      </c>
      <c r="B171" s="31" t="s">
        <v>127</v>
      </c>
      <c r="C171" s="53">
        <v>4</v>
      </c>
      <c r="D171" s="71" t="s">
        <v>204</v>
      </c>
      <c r="E171" s="44" t="s">
        <v>241</v>
      </c>
      <c r="F171" s="70" t="s">
        <v>66</v>
      </c>
      <c r="G171" s="72">
        <v>5</v>
      </c>
      <c r="H171" s="53" t="s">
        <v>207</v>
      </c>
      <c r="I171" s="73">
        <v>1</v>
      </c>
      <c r="J171" s="74">
        <f>IF($D171="무료",0,IF($D171="메뉴",0,IF($D171="프렙",IFERROR(VLOOKUP($E171,'② 프렙 원가'!$B$6:$F$16,5,FALSE),0),IFERROR(VLOOKUP($E171,'① 식재료 단가'!$B$6:$G$123,6,FALSE),0))))</f>
      </c>
      <c r="K171" s="75">
        <f>IF($D171="메뉴",ROUND($G171*$J171,1),IF($I171&gt;0,ROUND($G171/$I171*$J171,1),0))</f>
      </c>
      <c r="L171" s="54" t="s">
        <v>66</v>
      </c>
    </row>
    <row r="172" spans="1:12" x14ac:dyDescent="0.25">
      <c r="A172" s="70" t="s">
        <v>78</v>
      </c>
      <c r="B172" s="31" t="s">
        <v>127</v>
      </c>
      <c r="C172" s="53">
        <v>5</v>
      </c>
      <c r="D172" s="71" t="s">
        <v>204</v>
      </c>
      <c r="E172" s="44" t="s">
        <v>217</v>
      </c>
      <c r="F172" s="70" t="s">
        <v>66</v>
      </c>
      <c r="G172" s="72">
        <v>20</v>
      </c>
      <c r="H172" s="53" t="s">
        <v>207</v>
      </c>
      <c r="I172" s="73">
        <v>1</v>
      </c>
      <c r="J172" s="74">
        <f>IF($D172="무료",0,IF($D172="메뉴",0,IF($D172="프렙",IFERROR(VLOOKUP($E172,'② 프렙 원가'!$B$6:$F$16,5,FALSE),0),IFERROR(VLOOKUP($E172,'① 식재료 단가'!$B$6:$G$123,6,FALSE),0))))</f>
      </c>
      <c r="K172" s="75">
        <f>IF($D172="메뉴",ROUND($G172*$J172,1),IF($I172&gt;0,ROUND($G172/$I172*$J172,1),0))</f>
      </c>
      <c r="L172" s="54" t="s">
        <v>66</v>
      </c>
    </row>
    <row r="173" spans="1:12" x14ac:dyDescent="0.25">
      <c r="A173" s="70" t="s">
        <v>78</v>
      </c>
      <c r="B173" s="31" t="s">
        <v>127</v>
      </c>
      <c r="C173" s="53">
        <v>6</v>
      </c>
      <c r="D173" s="71" t="s">
        <v>204</v>
      </c>
      <c r="E173" s="44" t="s">
        <v>215</v>
      </c>
      <c r="F173" s="70" t="s">
        <v>66</v>
      </c>
      <c r="G173" s="72">
        <v>20</v>
      </c>
      <c r="H173" s="53" t="s">
        <v>207</v>
      </c>
      <c r="I173" s="73">
        <v>1</v>
      </c>
      <c r="J173" s="74">
        <f>IF($D173="무료",0,IF($D173="메뉴",0,IF($D173="프렙",IFERROR(VLOOKUP($E173,'② 프렙 원가'!$B$6:$F$16,5,FALSE),0),IFERROR(VLOOKUP($E173,'① 식재료 단가'!$B$6:$G$123,6,FALSE),0))))</f>
      </c>
      <c r="K173" s="75">
        <f>IF($D173="메뉴",ROUND($G173*$J173,1),IF($I173&gt;0,ROUND($G173/$I173*$J173,1),0))</f>
      </c>
      <c r="L173" s="54" t="s">
        <v>66</v>
      </c>
    </row>
    <row r="174" spans="1:12" x14ac:dyDescent="0.25">
      <c r="A174" s="70" t="s">
        <v>78</v>
      </c>
      <c r="B174" s="31" t="s">
        <v>127</v>
      </c>
      <c r="C174" s="53">
        <v>7</v>
      </c>
      <c r="D174" s="71" t="s">
        <v>204</v>
      </c>
      <c r="E174" s="44" t="s">
        <v>212</v>
      </c>
      <c r="F174" s="70" t="s">
        <v>66</v>
      </c>
      <c r="G174" s="72">
        <v>5</v>
      </c>
      <c r="H174" s="53" t="s">
        <v>207</v>
      </c>
      <c r="I174" s="73">
        <v>1</v>
      </c>
      <c r="J174" s="74">
        <f>IF($D174="무료",0,IF($D174="메뉴",0,IF($D174="프렙",IFERROR(VLOOKUP($E174,'② 프렙 원가'!$B$6:$F$16,5,FALSE),0),IFERROR(VLOOKUP($E174,'① 식재료 단가'!$B$6:$G$123,6,FALSE),0))))</f>
      </c>
      <c r="K174" s="75">
        <f>IF($D174="메뉴",ROUND($G174*$J174,1),IF($I174&gt;0,ROUND($G174/$I174*$J174,1),0))</f>
      </c>
      <c r="L174" s="54" t="s">
        <v>66</v>
      </c>
    </row>
    <row r="175" spans="1:12" x14ac:dyDescent="0.25">
      <c r="A175" s="70" t="s">
        <v>78</v>
      </c>
      <c r="B175" s="31" t="s">
        <v>127</v>
      </c>
      <c r="C175" s="53">
        <v>8</v>
      </c>
      <c r="D175" s="71" t="s">
        <v>204</v>
      </c>
      <c r="E175" s="44" t="s">
        <v>216</v>
      </c>
      <c r="F175" s="70" t="s">
        <v>66</v>
      </c>
      <c r="G175" s="72">
        <v>15</v>
      </c>
      <c r="H175" s="53" t="s">
        <v>207</v>
      </c>
      <c r="I175" s="73">
        <v>1</v>
      </c>
      <c r="J175" s="74">
        <f>IF($D175="무료",0,IF($D175="메뉴",0,IF($D175="프렙",IFERROR(VLOOKUP($E175,'② 프렙 원가'!$B$6:$F$16,5,FALSE),0),IFERROR(VLOOKUP($E175,'① 식재료 단가'!$B$6:$G$123,6,FALSE),0))))</f>
      </c>
      <c r="K175" s="75">
        <f>IF($D175="메뉴",ROUND($G175*$J175,1),IF($I175&gt;0,ROUND($G175/$I175*$J175,1),0))</f>
      </c>
      <c r="L175" s="54" t="s">
        <v>66</v>
      </c>
    </row>
    <row r="176" spans="1:12" x14ac:dyDescent="0.25">
      <c r="A176" s="70" t="s">
        <v>78</v>
      </c>
      <c r="B176" s="31" t="s">
        <v>127</v>
      </c>
      <c r="C176" s="53">
        <v>9</v>
      </c>
      <c r="D176" s="76" t="s">
        <v>209</v>
      </c>
      <c r="E176" s="44" t="s">
        <v>210</v>
      </c>
      <c r="F176" s="70" t="s">
        <v>66</v>
      </c>
      <c r="G176" s="72">
        <v>135</v>
      </c>
      <c r="H176" s="53" t="s">
        <v>207</v>
      </c>
      <c r="I176" s="73">
        <v>1</v>
      </c>
      <c r="J176" s="74">
        <f>IF($D176="무료",0,IF($D176="메뉴",0,IF($D176="프렙",IFERROR(VLOOKUP($E176,'② 프렙 원가'!$B$6:$F$16,5,FALSE),0),IFERROR(VLOOKUP($E176,'① 식재료 단가'!$B$6:$G$123,6,FALSE),0))))</f>
      </c>
      <c r="K176" s="75">
        <f>IF($D176="메뉴",ROUND($G176*$J176,1),IF($I176&gt;0,ROUND($G176/$I176*$J176,1),0))</f>
      </c>
      <c r="L176" s="54" t="s">
        <v>66</v>
      </c>
    </row>
    <row r="177" spans="1:12" x14ac:dyDescent="0.25">
      <c r="A177" s="70" t="s">
        <v>78</v>
      </c>
      <c r="B177" s="31" t="s">
        <v>127</v>
      </c>
      <c r="C177" s="53">
        <v>10</v>
      </c>
      <c r="D177" s="71" t="s">
        <v>204</v>
      </c>
      <c r="E177" s="44" t="s">
        <v>238</v>
      </c>
      <c r="F177" s="70" t="s">
        <v>66</v>
      </c>
      <c r="G177" s="72">
        <v>20</v>
      </c>
      <c r="H177" s="53" t="s">
        <v>239</v>
      </c>
      <c r="I177" s="73">
        <v>1</v>
      </c>
      <c r="J177" s="74">
        <f>IF($D177="무료",0,IF($D177="메뉴",0,IF($D177="프렙",IFERROR(VLOOKUP($E177,'② 프렙 원가'!$B$6:$F$16,5,FALSE),0),IFERROR(VLOOKUP($E177,'① 식재료 단가'!$B$6:$G$123,6,FALSE),0))))</f>
      </c>
      <c r="K177" s="75">
        <f>IF($D177="메뉴",ROUND($G177*$J177,1),IF($I177&gt;0,ROUND($G177/$I177*$J177,1),0))</f>
      </c>
      <c r="L177" s="54" t="s">
        <v>240</v>
      </c>
    </row>
    <row r="178" spans="1:12" x14ac:dyDescent="0.25">
      <c r="A178" s="77" t="s">
        <v>78</v>
      </c>
      <c r="B178" s="36" t="s">
        <v>128</v>
      </c>
      <c r="C178" s="63">
        <v>1</v>
      </c>
      <c r="D178" s="78" t="s">
        <v>204</v>
      </c>
      <c r="E178" s="49" t="s">
        <v>310</v>
      </c>
      <c r="F178" s="77" t="s">
        <v>66</v>
      </c>
      <c r="G178" s="72">
        <v>70</v>
      </c>
      <c r="H178" s="63" t="s">
        <v>207</v>
      </c>
      <c r="I178" s="73">
        <v>1</v>
      </c>
      <c r="J178" s="74">
        <f>IF($D178="무료",0,IF($D178="메뉴",0,IF($D178="프렙",IFERROR(VLOOKUP($E178,'② 프렙 원가'!$B$6:$F$16,5,FALSE),0),IFERROR(VLOOKUP($E178,'① 식재료 단가'!$B$6:$G$123,6,FALSE),0))))</f>
      </c>
      <c r="K178" s="75">
        <f>IF($D178="메뉴",ROUND($G178*$J178,1),IF($I178&gt;0,ROUND($G178/$I178*$J178,1),0))</f>
      </c>
      <c r="L178" s="64" t="s">
        <v>311</v>
      </c>
    </row>
    <row r="179" spans="1:12" x14ac:dyDescent="0.25">
      <c r="A179" s="77" t="s">
        <v>78</v>
      </c>
      <c r="B179" s="36" t="s">
        <v>128</v>
      </c>
      <c r="C179" s="63">
        <v>2</v>
      </c>
      <c r="D179" s="79" t="s">
        <v>209</v>
      </c>
      <c r="E179" s="49" t="s">
        <v>210</v>
      </c>
      <c r="F179" s="77" t="s">
        <v>66</v>
      </c>
      <c r="G179" s="72">
        <v>140</v>
      </c>
      <c r="H179" s="63" t="s">
        <v>207</v>
      </c>
      <c r="I179" s="73">
        <v>1</v>
      </c>
      <c r="J179" s="74">
        <f>IF($D179="무료",0,IF($D179="메뉴",0,IF($D179="프렙",IFERROR(VLOOKUP($E179,'② 프렙 원가'!$B$6:$F$16,5,FALSE),0),IFERROR(VLOOKUP($E179,'① 식재료 단가'!$B$6:$G$123,6,FALSE),0))))</f>
      </c>
      <c r="K179" s="75">
        <f>IF($D179="메뉴",ROUND($G179*$J179,1),IF($I179&gt;0,ROUND($G179/$I179*$J179,1),0))</f>
      </c>
      <c r="L179" s="64" t="s">
        <v>66</v>
      </c>
    </row>
    <row r="180" spans="1:12" x14ac:dyDescent="0.25">
      <c r="A180" s="77" t="s">
        <v>78</v>
      </c>
      <c r="B180" s="36" t="s">
        <v>128</v>
      </c>
      <c r="C180" s="63">
        <v>3</v>
      </c>
      <c r="D180" s="78" t="s">
        <v>204</v>
      </c>
      <c r="E180" s="49" t="s">
        <v>279</v>
      </c>
      <c r="F180" s="77" t="s">
        <v>66</v>
      </c>
      <c r="G180" s="72">
        <v>15</v>
      </c>
      <c r="H180" s="63" t="s">
        <v>207</v>
      </c>
      <c r="I180" s="73">
        <v>1</v>
      </c>
      <c r="J180" s="74">
        <f>IF($D180="무료",0,IF($D180="메뉴",0,IF($D180="프렙",IFERROR(VLOOKUP($E180,'② 프렙 원가'!$B$6:$F$16,5,FALSE),0),IFERROR(VLOOKUP($E180,'① 식재료 단가'!$B$6:$G$123,6,FALSE),0))))</f>
      </c>
      <c r="K180" s="75">
        <f>IF($D180="메뉴",ROUND($G180*$J180,1),IF($I180&gt;0,ROUND($G180/$I180*$J180,1),0))</f>
      </c>
      <c r="L180" s="64" t="s">
        <v>242</v>
      </c>
    </row>
    <row r="181" spans="1:12" x14ac:dyDescent="0.25">
      <c r="A181" s="77" t="s">
        <v>78</v>
      </c>
      <c r="B181" s="36" t="s">
        <v>128</v>
      </c>
      <c r="C181" s="63">
        <v>4</v>
      </c>
      <c r="D181" s="78" t="s">
        <v>204</v>
      </c>
      <c r="E181" s="49" t="s">
        <v>241</v>
      </c>
      <c r="F181" s="77" t="s">
        <v>66</v>
      </c>
      <c r="G181" s="72">
        <v>5</v>
      </c>
      <c r="H181" s="63" t="s">
        <v>207</v>
      </c>
      <c r="I181" s="73">
        <v>1</v>
      </c>
      <c r="J181" s="74">
        <f>IF($D181="무료",0,IF($D181="메뉴",0,IF($D181="프렙",IFERROR(VLOOKUP($E181,'② 프렙 원가'!$B$6:$F$16,5,FALSE),0),IFERROR(VLOOKUP($E181,'① 식재료 단가'!$B$6:$G$123,6,FALSE),0))))</f>
      </c>
      <c r="K181" s="75">
        <f>IF($D181="메뉴",ROUND($G181*$J181,1),IF($I181&gt;0,ROUND($G181/$I181*$J181,1),0))</f>
      </c>
      <c r="L181" s="64" t="s">
        <v>66</v>
      </c>
    </row>
    <row r="182" spans="1:12" x14ac:dyDescent="0.25">
      <c r="A182" s="77" t="s">
        <v>78</v>
      </c>
      <c r="B182" s="36" t="s">
        <v>128</v>
      </c>
      <c r="C182" s="63">
        <v>5</v>
      </c>
      <c r="D182" s="78" t="s">
        <v>204</v>
      </c>
      <c r="E182" s="49" t="s">
        <v>215</v>
      </c>
      <c r="F182" s="77" t="s">
        <v>66</v>
      </c>
      <c r="G182" s="72">
        <v>5</v>
      </c>
      <c r="H182" s="63" t="s">
        <v>207</v>
      </c>
      <c r="I182" s="73">
        <v>1</v>
      </c>
      <c r="J182" s="74">
        <f>IF($D182="무료",0,IF($D182="메뉴",0,IF($D182="프렙",IFERROR(VLOOKUP($E182,'② 프렙 원가'!$B$6:$F$16,5,FALSE),0),IFERROR(VLOOKUP($E182,'① 식재료 단가'!$B$6:$G$123,6,FALSE),0))))</f>
      </c>
      <c r="K182" s="75">
        <f>IF($D182="메뉴",ROUND($G182*$J182,1),IF($I182&gt;0,ROUND($G182/$I182*$J182,1),0))</f>
      </c>
      <c r="L182" s="64" t="s">
        <v>66</v>
      </c>
    </row>
    <row r="183" spans="1:12" x14ac:dyDescent="0.25">
      <c r="A183" s="77" t="s">
        <v>78</v>
      </c>
      <c r="B183" s="36" t="s">
        <v>128</v>
      </c>
      <c r="C183" s="63">
        <v>6</v>
      </c>
      <c r="D183" s="78" t="s">
        <v>204</v>
      </c>
      <c r="E183" s="49" t="s">
        <v>216</v>
      </c>
      <c r="F183" s="77" t="s">
        <v>66</v>
      </c>
      <c r="G183" s="72">
        <v>10</v>
      </c>
      <c r="H183" s="63" t="s">
        <v>207</v>
      </c>
      <c r="I183" s="73">
        <v>1</v>
      </c>
      <c r="J183" s="74">
        <f>IF($D183="무료",0,IF($D183="메뉴",0,IF($D183="프렙",IFERROR(VLOOKUP($E183,'② 프렙 원가'!$B$6:$F$16,5,FALSE),0),IFERROR(VLOOKUP($E183,'① 식재료 단가'!$B$6:$G$123,6,FALSE),0))))</f>
      </c>
      <c r="K183" s="75">
        <f>IF($D183="메뉴",ROUND($G183*$J183,1),IF($I183&gt;0,ROUND($G183/$I183*$J183,1),0))</f>
      </c>
      <c r="L183" s="64" t="s">
        <v>66</v>
      </c>
    </row>
    <row r="184" spans="1:12" x14ac:dyDescent="0.25">
      <c r="A184" s="70" t="s">
        <v>78</v>
      </c>
      <c r="B184" s="31" t="s">
        <v>129</v>
      </c>
      <c r="C184" s="53">
        <v>1</v>
      </c>
      <c r="D184" s="71" t="s">
        <v>204</v>
      </c>
      <c r="E184" s="44" t="s">
        <v>312</v>
      </c>
      <c r="F184" s="70" t="s">
        <v>313</v>
      </c>
      <c r="G184" s="72">
        <v>85</v>
      </c>
      <c r="H184" s="53" t="s">
        <v>207</v>
      </c>
      <c r="I184" s="73">
        <v>1</v>
      </c>
      <c r="J184" s="74">
        <f>IF($D184="무료",0,IF($D184="메뉴",0,IF($D184="프렙",IFERROR(VLOOKUP($E184,'② 프렙 원가'!$B$6:$F$16,5,FALSE),0),IFERROR(VLOOKUP($E184,'① 식재료 단가'!$B$6:$G$123,6,FALSE),0))))</f>
      </c>
      <c r="K184" s="75">
        <f>IF($D184="메뉴",ROUND($G184*$J184,1),IF($I184&gt;0,ROUND($G184/$I184*$J184,1),0))</f>
      </c>
      <c r="L184" s="54" t="s">
        <v>66</v>
      </c>
    </row>
    <row r="185" spans="1:12" x14ac:dyDescent="0.25">
      <c r="A185" s="70" t="s">
        <v>78</v>
      </c>
      <c r="B185" s="31" t="s">
        <v>129</v>
      </c>
      <c r="C185" s="53">
        <v>2</v>
      </c>
      <c r="D185" s="76" t="s">
        <v>209</v>
      </c>
      <c r="E185" s="44" t="s">
        <v>210</v>
      </c>
      <c r="F185" s="70" t="s">
        <v>66</v>
      </c>
      <c r="G185" s="72">
        <v>140</v>
      </c>
      <c r="H185" s="53" t="s">
        <v>207</v>
      </c>
      <c r="I185" s="73">
        <v>1</v>
      </c>
      <c r="J185" s="74">
        <f>IF($D185="무료",0,IF($D185="메뉴",0,IF($D185="프렙",IFERROR(VLOOKUP($E185,'② 프렙 원가'!$B$6:$F$16,5,FALSE),0),IFERROR(VLOOKUP($E185,'① 식재료 단가'!$B$6:$G$123,6,FALSE),0))))</f>
      </c>
      <c r="K185" s="75">
        <f>IF($D185="메뉴",ROUND($G185*$J185,1),IF($I185&gt;0,ROUND($G185/$I185*$J185,1),0))</f>
      </c>
      <c r="L185" s="54" t="s">
        <v>66</v>
      </c>
    </row>
    <row r="186" spans="1:12" x14ac:dyDescent="0.25">
      <c r="A186" s="70" t="s">
        <v>78</v>
      </c>
      <c r="B186" s="31" t="s">
        <v>129</v>
      </c>
      <c r="C186" s="53">
        <v>3</v>
      </c>
      <c r="D186" s="71" t="s">
        <v>204</v>
      </c>
      <c r="E186" s="44" t="s">
        <v>241</v>
      </c>
      <c r="F186" s="70" t="s">
        <v>66</v>
      </c>
      <c r="G186" s="72">
        <v>5</v>
      </c>
      <c r="H186" s="53" t="s">
        <v>207</v>
      </c>
      <c r="I186" s="73">
        <v>1</v>
      </c>
      <c r="J186" s="74">
        <f>IF($D186="무료",0,IF($D186="메뉴",0,IF($D186="프렙",IFERROR(VLOOKUP($E186,'② 프렙 원가'!$B$6:$F$16,5,FALSE),0),IFERROR(VLOOKUP($E186,'① 식재료 단가'!$B$6:$G$123,6,FALSE),0))))</f>
      </c>
      <c r="K186" s="75">
        <f>IF($D186="메뉴",ROUND($G186*$J186,1),IF($I186&gt;0,ROUND($G186/$I186*$J186,1),0))</f>
      </c>
      <c r="L186" s="54" t="s">
        <v>242</v>
      </c>
    </row>
    <row r="187" spans="1:12" x14ac:dyDescent="0.25">
      <c r="A187" s="70" t="s">
        <v>78</v>
      </c>
      <c r="B187" s="31" t="s">
        <v>129</v>
      </c>
      <c r="C187" s="53">
        <v>4</v>
      </c>
      <c r="D187" s="71" t="s">
        <v>204</v>
      </c>
      <c r="E187" s="44" t="s">
        <v>215</v>
      </c>
      <c r="F187" s="70" t="s">
        <v>66</v>
      </c>
      <c r="G187" s="72">
        <v>5</v>
      </c>
      <c r="H187" s="53" t="s">
        <v>207</v>
      </c>
      <c r="I187" s="73">
        <v>1</v>
      </c>
      <c r="J187" s="74">
        <f>IF($D187="무료",0,IF($D187="메뉴",0,IF($D187="프렙",IFERROR(VLOOKUP($E187,'② 프렙 원가'!$B$6:$F$16,5,FALSE),0),IFERROR(VLOOKUP($E187,'① 식재료 단가'!$B$6:$G$123,6,FALSE),0))))</f>
      </c>
      <c r="K187" s="75">
        <f>IF($D187="메뉴",ROUND($G187*$J187,1),IF($I187&gt;0,ROUND($G187/$I187*$J187,1),0))</f>
      </c>
      <c r="L187" s="54" t="s">
        <v>66</v>
      </c>
    </row>
    <row r="188" spans="1:12" x14ac:dyDescent="0.25">
      <c r="A188" s="70" t="s">
        <v>78</v>
      </c>
      <c r="B188" s="31" t="s">
        <v>129</v>
      </c>
      <c r="C188" s="53">
        <v>5</v>
      </c>
      <c r="D188" s="71" t="s">
        <v>204</v>
      </c>
      <c r="E188" s="44" t="s">
        <v>216</v>
      </c>
      <c r="F188" s="70" t="s">
        <v>66</v>
      </c>
      <c r="G188" s="72">
        <v>10</v>
      </c>
      <c r="H188" s="53" t="s">
        <v>207</v>
      </c>
      <c r="I188" s="73">
        <v>1</v>
      </c>
      <c r="J188" s="74">
        <f>IF($D188="무료",0,IF($D188="메뉴",0,IF($D188="프렙",IFERROR(VLOOKUP($E188,'② 프렙 원가'!$B$6:$F$16,5,FALSE),0),IFERROR(VLOOKUP($E188,'① 식재료 단가'!$B$6:$G$123,6,FALSE),0))))</f>
      </c>
      <c r="K188" s="75">
        <f>IF($D188="메뉴",ROUND($G188*$J188,1),IF($I188&gt;0,ROUND($G188/$I188*$J188,1),0))</f>
      </c>
      <c r="L188" s="54" t="s">
        <v>66</v>
      </c>
    </row>
    <row r="189" spans="1:12" x14ac:dyDescent="0.25">
      <c r="A189" s="77" t="s">
        <v>78</v>
      </c>
      <c r="B189" s="36" t="s">
        <v>130</v>
      </c>
      <c r="C189" s="63">
        <v>1</v>
      </c>
      <c r="D189" s="78" t="s">
        <v>204</v>
      </c>
      <c r="E189" s="49" t="s">
        <v>306</v>
      </c>
      <c r="F189" s="77" t="s">
        <v>66</v>
      </c>
      <c r="G189" s="72">
        <v>65</v>
      </c>
      <c r="H189" s="63" t="s">
        <v>207</v>
      </c>
      <c r="I189" s="73">
        <v>1</v>
      </c>
      <c r="J189" s="74">
        <f>IF($D189="무료",0,IF($D189="메뉴",0,IF($D189="프렙",IFERROR(VLOOKUP($E189,'② 프렙 원가'!$B$6:$F$16,5,FALSE),0),IFERROR(VLOOKUP($E189,'① 식재료 단가'!$B$6:$G$123,6,FALSE),0))))</f>
      </c>
      <c r="K189" s="75">
        <f>IF($D189="메뉴",ROUND($G189*$J189,1),IF($I189&gt;0,ROUND($G189/$I189*$J189,1),0))</f>
      </c>
      <c r="L189" s="64" t="s">
        <v>230</v>
      </c>
    </row>
    <row r="190" spans="1:12" x14ac:dyDescent="0.25">
      <c r="A190" s="77" t="s">
        <v>78</v>
      </c>
      <c r="B190" s="36" t="s">
        <v>130</v>
      </c>
      <c r="C190" s="63">
        <v>2</v>
      </c>
      <c r="D190" s="78" t="s">
        <v>204</v>
      </c>
      <c r="E190" s="49" t="s">
        <v>314</v>
      </c>
      <c r="F190" s="77" t="s">
        <v>315</v>
      </c>
      <c r="G190" s="72">
        <v>65</v>
      </c>
      <c r="H190" s="63" t="s">
        <v>207</v>
      </c>
      <c r="I190" s="73">
        <v>1</v>
      </c>
      <c r="J190" s="74">
        <f>IF($D190="무료",0,IF($D190="메뉴",0,IF($D190="프렙",IFERROR(VLOOKUP($E190,'② 프렙 원가'!$B$6:$F$16,5,FALSE),0),IFERROR(VLOOKUP($E190,'① 식재료 단가'!$B$6:$G$123,6,FALSE),0))))</f>
      </c>
      <c r="K190" s="75">
        <f>IF($D190="메뉴",ROUND($G190*$J190,1),IF($I190&gt;0,ROUND($G190/$I190*$J190,1),0))</f>
      </c>
      <c r="L190" s="64" t="s">
        <v>316</v>
      </c>
    </row>
    <row r="191" spans="1:12" x14ac:dyDescent="0.25">
      <c r="A191" s="77" t="s">
        <v>78</v>
      </c>
      <c r="B191" s="36" t="s">
        <v>130</v>
      </c>
      <c r="C191" s="63">
        <v>3</v>
      </c>
      <c r="D191" s="79" t="s">
        <v>209</v>
      </c>
      <c r="E191" s="49" t="s">
        <v>210</v>
      </c>
      <c r="F191" s="77" t="s">
        <v>66</v>
      </c>
      <c r="G191" s="72">
        <v>100</v>
      </c>
      <c r="H191" s="63" t="s">
        <v>207</v>
      </c>
      <c r="I191" s="73">
        <v>1</v>
      </c>
      <c r="J191" s="74">
        <f>IF($D191="무료",0,IF($D191="메뉴",0,IF($D191="프렙",IFERROR(VLOOKUP($E191,'② 프렙 원가'!$B$6:$F$16,5,FALSE),0),IFERROR(VLOOKUP($E191,'① 식재료 단가'!$B$6:$G$123,6,FALSE),0))))</f>
      </c>
      <c r="K191" s="75">
        <f>IF($D191="메뉴",ROUND($G191*$J191,1),IF($I191&gt;0,ROUND($G191/$I191*$J191,1),0))</f>
      </c>
      <c r="L191" s="64" t="s">
        <v>66</v>
      </c>
    </row>
    <row r="192" spans="1:12" x14ac:dyDescent="0.25">
      <c r="A192" s="77" t="s">
        <v>78</v>
      </c>
      <c r="B192" s="36" t="s">
        <v>130</v>
      </c>
      <c r="C192" s="63">
        <v>4</v>
      </c>
      <c r="D192" s="78" t="s">
        <v>204</v>
      </c>
      <c r="E192" s="49" t="s">
        <v>215</v>
      </c>
      <c r="F192" s="77" t="s">
        <v>66</v>
      </c>
      <c r="G192" s="72">
        <v>5</v>
      </c>
      <c r="H192" s="63" t="s">
        <v>207</v>
      </c>
      <c r="I192" s="73">
        <v>1</v>
      </c>
      <c r="J192" s="74">
        <f>IF($D192="무료",0,IF($D192="메뉴",0,IF($D192="프렙",IFERROR(VLOOKUP($E192,'② 프렙 원가'!$B$6:$F$16,5,FALSE),0),IFERROR(VLOOKUP($E192,'① 식재료 단가'!$B$6:$G$123,6,FALSE),0))))</f>
      </c>
      <c r="K192" s="75">
        <f>IF($D192="메뉴",ROUND($G192*$J192,1),IF($I192&gt;0,ROUND($G192/$I192*$J192,1),0))</f>
      </c>
      <c r="L192" s="64" t="s">
        <v>66</v>
      </c>
    </row>
    <row r="193" spans="1:12" x14ac:dyDescent="0.25">
      <c r="A193" s="77" t="s">
        <v>78</v>
      </c>
      <c r="B193" s="36" t="s">
        <v>130</v>
      </c>
      <c r="C193" s="63">
        <v>5</v>
      </c>
      <c r="D193" s="78" t="s">
        <v>204</v>
      </c>
      <c r="E193" s="49" t="s">
        <v>216</v>
      </c>
      <c r="F193" s="77" t="s">
        <v>66</v>
      </c>
      <c r="G193" s="72">
        <v>10</v>
      </c>
      <c r="H193" s="63" t="s">
        <v>207</v>
      </c>
      <c r="I193" s="73">
        <v>1</v>
      </c>
      <c r="J193" s="74">
        <f>IF($D193="무료",0,IF($D193="메뉴",0,IF($D193="프렙",IFERROR(VLOOKUP($E193,'② 프렙 원가'!$B$6:$F$16,5,FALSE),0),IFERROR(VLOOKUP($E193,'① 식재료 단가'!$B$6:$G$123,6,FALSE),0))))</f>
      </c>
      <c r="K193" s="75">
        <f>IF($D193="메뉴",ROUND($G193*$J193,1),IF($I193&gt;0,ROUND($G193/$I193*$J193,1),0))</f>
      </c>
      <c r="L193" s="64" t="s">
        <v>66</v>
      </c>
    </row>
    <row r="194" spans="1:12" x14ac:dyDescent="0.25">
      <c r="A194" s="77" t="s">
        <v>78</v>
      </c>
      <c r="B194" s="36" t="s">
        <v>130</v>
      </c>
      <c r="C194" s="63">
        <v>6</v>
      </c>
      <c r="D194" s="78" t="s">
        <v>204</v>
      </c>
      <c r="E194" s="49" t="s">
        <v>301</v>
      </c>
      <c r="F194" s="77" t="s">
        <v>302</v>
      </c>
      <c r="G194" s="72">
        <v>2</v>
      </c>
      <c r="H194" s="63" t="s">
        <v>207</v>
      </c>
      <c r="I194" s="73">
        <v>1</v>
      </c>
      <c r="J194" s="74">
        <f>IF($D194="무료",0,IF($D194="메뉴",0,IF($D194="프렙",IFERROR(VLOOKUP($E194,'② 프렙 원가'!$B$6:$F$16,5,FALSE),0),IFERROR(VLOOKUP($E194,'① 식재료 단가'!$B$6:$G$123,6,FALSE),0))))</f>
      </c>
      <c r="K194" s="75">
        <f>IF($D194="메뉴",ROUND($G194*$J194,1),IF($I194&gt;0,ROUND($G194/$I194*$J194,1),0))</f>
      </c>
      <c r="L194" s="64" t="s">
        <v>66</v>
      </c>
    </row>
    <row r="195" spans="1:12" x14ac:dyDescent="0.25">
      <c r="A195" s="70" t="s">
        <v>78</v>
      </c>
      <c r="B195" s="31" t="s">
        <v>131</v>
      </c>
      <c r="C195" s="53">
        <v>1</v>
      </c>
      <c r="D195" s="71" t="s">
        <v>204</v>
      </c>
      <c r="E195" s="44" t="s">
        <v>306</v>
      </c>
      <c r="F195" s="70" t="s">
        <v>66</v>
      </c>
      <c r="G195" s="72">
        <v>80</v>
      </c>
      <c r="H195" s="53" t="s">
        <v>207</v>
      </c>
      <c r="I195" s="73">
        <v>1</v>
      </c>
      <c r="J195" s="74">
        <f>IF($D195="무료",0,IF($D195="메뉴",0,IF($D195="프렙",IFERROR(VLOOKUP($E195,'② 프렙 원가'!$B$6:$F$16,5,FALSE),0),IFERROR(VLOOKUP($E195,'① 식재료 단가'!$B$6:$G$123,6,FALSE),0))))</f>
      </c>
      <c r="K195" s="75">
        <f>IF($D195="메뉴",ROUND($G195*$J195,1),IF($I195&gt;0,ROUND($G195/$I195*$J195,1),0))</f>
      </c>
      <c r="L195" s="54" t="s">
        <v>230</v>
      </c>
    </row>
    <row r="196" spans="1:12" x14ac:dyDescent="0.25">
      <c r="A196" s="70" t="s">
        <v>78</v>
      </c>
      <c r="B196" s="31" t="s">
        <v>131</v>
      </c>
      <c r="C196" s="53">
        <v>2</v>
      </c>
      <c r="D196" s="76" t="s">
        <v>209</v>
      </c>
      <c r="E196" s="44" t="s">
        <v>317</v>
      </c>
      <c r="F196" s="70" t="s">
        <v>66</v>
      </c>
      <c r="G196" s="72">
        <v>160</v>
      </c>
      <c r="H196" s="53" t="s">
        <v>207</v>
      </c>
      <c r="I196" s="73">
        <v>1</v>
      </c>
      <c r="J196" s="74">
        <f>IF($D196="무료",0,IF($D196="메뉴",0,IF($D196="프렙",IFERROR(VLOOKUP($E196,'② 프렙 원가'!$B$6:$F$16,5,FALSE),0),IFERROR(VLOOKUP($E196,'① 식재료 단가'!$B$6:$G$123,6,FALSE),0))))</f>
      </c>
      <c r="K196" s="75">
        <f>IF($D196="메뉴",ROUND($G196*$J196,1),IF($I196&gt;0,ROUND($G196/$I196*$J196,1),0))</f>
      </c>
      <c r="L196" s="54" t="s">
        <v>66</v>
      </c>
    </row>
    <row r="197" spans="1:12" x14ac:dyDescent="0.25">
      <c r="A197" s="70" t="s">
        <v>78</v>
      </c>
      <c r="B197" s="31" t="s">
        <v>131</v>
      </c>
      <c r="C197" s="53">
        <v>3</v>
      </c>
      <c r="D197" s="71" t="s">
        <v>204</v>
      </c>
      <c r="E197" s="44" t="s">
        <v>215</v>
      </c>
      <c r="F197" s="70" t="s">
        <v>66</v>
      </c>
      <c r="G197" s="72">
        <v>10</v>
      </c>
      <c r="H197" s="53" t="s">
        <v>207</v>
      </c>
      <c r="I197" s="73">
        <v>1</v>
      </c>
      <c r="J197" s="74">
        <f>IF($D197="무료",0,IF($D197="메뉴",0,IF($D197="프렙",IFERROR(VLOOKUP($E197,'② 프렙 원가'!$B$6:$F$16,5,FALSE),0),IFERROR(VLOOKUP($E197,'① 식재료 단가'!$B$6:$G$123,6,FALSE),0))))</f>
      </c>
      <c r="K197" s="75">
        <f>IF($D197="메뉴",ROUND($G197*$J197,1),IF($I197&gt;0,ROUND($G197/$I197*$J197,1),0))</f>
      </c>
      <c r="L197" s="54" t="s">
        <v>66</v>
      </c>
    </row>
    <row r="198" spans="1:12" x14ac:dyDescent="0.25">
      <c r="A198" s="70" t="s">
        <v>78</v>
      </c>
      <c r="B198" s="31" t="s">
        <v>131</v>
      </c>
      <c r="C198" s="53">
        <v>4</v>
      </c>
      <c r="D198" s="71" t="s">
        <v>204</v>
      </c>
      <c r="E198" s="44" t="s">
        <v>216</v>
      </c>
      <c r="F198" s="70" t="s">
        <v>66</v>
      </c>
      <c r="G198" s="72">
        <v>5</v>
      </c>
      <c r="H198" s="53" t="s">
        <v>207</v>
      </c>
      <c r="I198" s="73">
        <v>1</v>
      </c>
      <c r="J198" s="74">
        <f>IF($D198="무료",0,IF($D198="메뉴",0,IF($D198="프렙",IFERROR(VLOOKUP($E198,'② 프렙 원가'!$B$6:$F$16,5,FALSE),0),IFERROR(VLOOKUP($E198,'① 식재료 단가'!$B$6:$G$123,6,FALSE),0))))</f>
      </c>
      <c r="K198" s="75">
        <f>IF($D198="메뉴",ROUND($G198*$J198,1),IF($I198&gt;0,ROUND($G198/$I198*$J198,1),0))</f>
      </c>
      <c r="L198" s="54" t="s">
        <v>66</v>
      </c>
    </row>
    <row r="199" spans="1:12" x14ac:dyDescent="0.25">
      <c r="A199" s="77" t="s">
        <v>78</v>
      </c>
      <c r="B199" s="36" t="s">
        <v>132</v>
      </c>
      <c r="C199" s="63">
        <v>1</v>
      </c>
      <c r="D199" s="78" t="s">
        <v>204</v>
      </c>
      <c r="E199" s="49" t="s">
        <v>312</v>
      </c>
      <c r="F199" s="77" t="s">
        <v>313</v>
      </c>
      <c r="G199" s="72">
        <v>70</v>
      </c>
      <c r="H199" s="63" t="s">
        <v>207</v>
      </c>
      <c r="I199" s="73">
        <v>1</v>
      </c>
      <c r="J199" s="74">
        <f>IF($D199="무료",0,IF($D199="메뉴",0,IF($D199="프렙",IFERROR(VLOOKUP($E199,'② 프렙 원가'!$B$6:$F$16,5,FALSE),0),IFERROR(VLOOKUP($E199,'① 식재료 단가'!$B$6:$G$123,6,FALSE),0))))</f>
      </c>
      <c r="K199" s="75">
        <f>IF($D199="메뉴",ROUND($G199*$J199,1),IF($I199&gt;0,ROUND($G199/$I199*$J199,1),0))</f>
      </c>
      <c r="L199" s="64" t="s">
        <v>66</v>
      </c>
    </row>
    <row r="200" spans="1:12" x14ac:dyDescent="0.25">
      <c r="A200" s="77" t="s">
        <v>78</v>
      </c>
      <c r="B200" s="36" t="s">
        <v>132</v>
      </c>
      <c r="C200" s="63">
        <v>2</v>
      </c>
      <c r="D200" s="78" t="s">
        <v>204</v>
      </c>
      <c r="E200" s="49" t="s">
        <v>215</v>
      </c>
      <c r="F200" s="77" t="s">
        <v>66</v>
      </c>
      <c r="G200" s="72">
        <v>20</v>
      </c>
      <c r="H200" s="63" t="s">
        <v>207</v>
      </c>
      <c r="I200" s="73">
        <v>1</v>
      </c>
      <c r="J200" s="74">
        <f>IF($D200="무료",0,IF($D200="메뉴",0,IF($D200="프렙",IFERROR(VLOOKUP($E200,'② 프렙 원가'!$B$6:$F$16,5,FALSE),0),IFERROR(VLOOKUP($E200,'① 식재료 단가'!$B$6:$G$123,6,FALSE),0))))</f>
      </c>
      <c r="K200" s="75">
        <f>IF($D200="메뉴",ROUND($G200*$J200,1),IF($I200&gt;0,ROUND($G200/$I200*$J200,1),0))</f>
      </c>
      <c r="L200" s="64" t="s">
        <v>66</v>
      </c>
    </row>
    <row r="201" spans="1:12" x14ac:dyDescent="0.25">
      <c r="A201" s="77" t="s">
        <v>78</v>
      </c>
      <c r="B201" s="36" t="s">
        <v>132</v>
      </c>
      <c r="C201" s="63">
        <v>3</v>
      </c>
      <c r="D201" s="79" t="s">
        <v>209</v>
      </c>
      <c r="E201" s="49" t="s">
        <v>210</v>
      </c>
      <c r="F201" s="77" t="s">
        <v>66</v>
      </c>
      <c r="G201" s="72">
        <v>145</v>
      </c>
      <c r="H201" s="63" t="s">
        <v>207</v>
      </c>
      <c r="I201" s="73">
        <v>1</v>
      </c>
      <c r="J201" s="74">
        <f>IF($D201="무료",0,IF($D201="메뉴",0,IF($D201="프렙",IFERROR(VLOOKUP($E201,'② 프렙 원가'!$B$6:$F$16,5,FALSE),0),IFERROR(VLOOKUP($E201,'① 식재료 단가'!$B$6:$G$123,6,FALSE),0))))</f>
      </c>
      <c r="K201" s="75">
        <f>IF($D201="메뉴",ROUND($G201*$J201,1),IF($I201&gt;0,ROUND($G201/$I201*$J201,1),0))</f>
      </c>
      <c r="L201" s="64" t="s">
        <v>66</v>
      </c>
    </row>
    <row r="202" spans="1:12" x14ac:dyDescent="0.25">
      <c r="A202" s="77" t="s">
        <v>78</v>
      </c>
      <c r="B202" s="36" t="s">
        <v>132</v>
      </c>
      <c r="C202" s="63">
        <v>4</v>
      </c>
      <c r="D202" s="78" t="s">
        <v>204</v>
      </c>
      <c r="E202" s="49" t="s">
        <v>231</v>
      </c>
      <c r="F202" s="77" t="s">
        <v>66</v>
      </c>
      <c r="G202" s="72">
        <v>5</v>
      </c>
      <c r="H202" s="63" t="s">
        <v>207</v>
      </c>
      <c r="I202" s="73">
        <v>1</v>
      </c>
      <c r="J202" s="74">
        <f>IF($D202="무료",0,IF($D202="메뉴",0,IF($D202="프렙",IFERROR(VLOOKUP($E202,'② 프렙 원가'!$B$6:$F$16,5,FALSE),0),IFERROR(VLOOKUP($E202,'① 식재료 단가'!$B$6:$G$123,6,FALSE),0))))</f>
      </c>
      <c r="K202" s="75">
        <f>IF($D202="메뉴",ROUND($G202*$J202,1),IF($I202&gt;0,ROUND($G202/$I202*$J202,1),0))</f>
      </c>
      <c r="L202" s="64" t="s">
        <v>318</v>
      </c>
    </row>
    <row r="203" spans="1:12" x14ac:dyDescent="0.25">
      <c r="A203" s="77" t="s">
        <v>78</v>
      </c>
      <c r="B203" s="36" t="s">
        <v>132</v>
      </c>
      <c r="C203" s="63">
        <v>5</v>
      </c>
      <c r="D203" s="78" t="s">
        <v>204</v>
      </c>
      <c r="E203" s="49" t="s">
        <v>216</v>
      </c>
      <c r="F203" s="77" t="s">
        <v>66</v>
      </c>
      <c r="G203" s="72">
        <v>5</v>
      </c>
      <c r="H203" s="63" t="s">
        <v>207</v>
      </c>
      <c r="I203" s="73">
        <v>1</v>
      </c>
      <c r="J203" s="74">
        <f>IF($D203="무료",0,IF($D203="메뉴",0,IF($D203="프렙",IFERROR(VLOOKUP($E203,'② 프렙 원가'!$B$6:$F$16,5,FALSE),0),IFERROR(VLOOKUP($E203,'① 식재료 단가'!$B$6:$G$123,6,FALSE),0))))</f>
      </c>
      <c r="K203" s="75">
        <f>IF($D203="메뉴",ROUND($G203*$J203,1),IF($I203&gt;0,ROUND($G203/$I203*$J203,1),0))</f>
      </c>
      <c r="L203" s="64" t="s">
        <v>66</v>
      </c>
    </row>
    <row r="204" spans="1:12" x14ac:dyDescent="0.25">
      <c r="A204" s="70" t="s">
        <v>78</v>
      </c>
      <c r="B204" s="31" t="s">
        <v>133</v>
      </c>
      <c r="C204" s="53">
        <v>1</v>
      </c>
      <c r="D204" s="71" t="s">
        <v>204</v>
      </c>
      <c r="E204" s="44" t="s">
        <v>319</v>
      </c>
      <c r="F204" s="70" t="s">
        <v>320</v>
      </c>
      <c r="G204" s="72">
        <v>80</v>
      </c>
      <c r="H204" s="53" t="s">
        <v>207</v>
      </c>
      <c r="I204" s="73">
        <v>1</v>
      </c>
      <c r="J204" s="74">
        <f>IF($D204="무료",0,IF($D204="메뉴",0,IF($D204="프렙",IFERROR(VLOOKUP($E204,'② 프렙 원가'!$B$6:$F$16,5,FALSE),0),IFERROR(VLOOKUP($E204,'① 식재료 단가'!$B$6:$G$123,6,FALSE),0))))</f>
      </c>
      <c r="K204" s="75">
        <f>IF($D204="메뉴",ROUND($G204*$J204,1),IF($I204&gt;0,ROUND($G204/$I204*$J204,1),0))</f>
      </c>
      <c r="L204" s="54" t="s">
        <v>321</v>
      </c>
    </row>
    <row r="205" spans="1:12" x14ac:dyDescent="0.25">
      <c r="A205" s="70" t="s">
        <v>78</v>
      </c>
      <c r="B205" s="31" t="s">
        <v>133</v>
      </c>
      <c r="C205" s="53">
        <v>2</v>
      </c>
      <c r="D205" s="71" t="s">
        <v>204</v>
      </c>
      <c r="E205" s="44" t="s">
        <v>279</v>
      </c>
      <c r="F205" s="70" t="s">
        <v>66</v>
      </c>
      <c r="G205" s="72">
        <v>25</v>
      </c>
      <c r="H205" s="53" t="s">
        <v>207</v>
      </c>
      <c r="I205" s="73">
        <v>1</v>
      </c>
      <c r="J205" s="74">
        <f>IF($D205="무료",0,IF($D205="메뉴",0,IF($D205="프렙",IFERROR(VLOOKUP($E205,'② 프렙 원가'!$B$6:$F$16,5,FALSE),0),IFERROR(VLOOKUP($E205,'① 식재료 단가'!$B$6:$G$123,6,FALSE),0))))</f>
      </c>
      <c r="K205" s="75">
        <f>IF($D205="메뉴",ROUND($G205*$J205,1),IF($I205&gt;0,ROUND($G205/$I205*$J205,1),0))</f>
      </c>
      <c r="L205" s="54" t="s">
        <v>242</v>
      </c>
    </row>
    <row r="206" spans="1:12" x14ac:dyDescent="0.25">
      <c r="A206" s="70" t="s">
        <v>78</v>
      </c>
      <c r="B206" s="31" t="s">
        <v>133</v>
      </c>
      <c r="C206" s="53">
        <v>3</v>
      </c>
      <c r="D206" s="71" t="s">
        <v>204</v>
      </c>
      <c r="E206" s="44" t="s">
        <v>241</v>
      </c>
      <c r="F206" s="70" t="s">
        <v>66</v>
      </c>
      <c r="G206" s="72">
        <v>10</v>
      </c>
      <c r="H206" s="53" t="s">
        <v>207</v>
      </c>
      <c r="I206" s="73">
        <v>1</v>
      </c>
      <c r="J206" s="74">
        <f>IF($D206="무료",0,IF($D206="메뉴",0,IF($D206="프렙",IFERROR(VLOOKUP($E206,'② 프렙 원가'!$B$6:$F$16,5,FALSE),0),IFERROR(VLOOKUP($E206,'① 식재료 단가'!$B$6:$G$123,6,FALSE),0))))</f>
      </c>
      <c r="K206" s="75">
        <f>IF($D206="메뉴",ROUND($G206*$J206,1),IF($I206&gt;0,ROUND($G206/$I206*$J206,1),0))</f>
      </c>
      <c r="L206" s="54" t="s">
        <v>242</v>
      </c>
    </row>
    <row r="207" spans="1:12" x14ac:dyDescent="0.25">
      <c r="A207" s="70" t="s">
        <v>78</v>
      </c>
      <c r="B207" s="31" t="s">
        <v>133</v>
      </c>
      <c r="C207" s="53">
        <v>4</v>
      </c>
      <c r="D207" s="71" t="s">
        <v>204</v>
      </c>
      <c r="E207" s="44" t="s">
        <v>243</v>
      </c>
      <c r="F207" s="70" t="s">
        <v>66</v>
      </c>
      <c r="G207" s="72">
        <v>10</v>
      </c>
      <c r="H207" s="53" t="s">
        <v>207</v>
      </c>
      <c r="I207" s="73">
        <v>1</v>
      </c>
      <c r="J207" s="74">
        <f>IF($D207="무료",0,IF($D207="메뉴",0,IF($D207="프렙",IFERROR(VLOOKUP($E207,'② 프렙 원가'!$B$6:$F$16,5,FALSE),0),IFERROR(VLOOKUP($E207,'① 식재료 단가'!$B$6:$G$123,6,FALSE),0))))</f>
      </c>
      <c r="K207" s="75">
        <f>IF($D207="메뉴",ROUND($G207*$J207,1),IF($I207&gt;0,ROUND($G207/$I207*$J207,1),0))</f>
      </c>
      <c r="L207" s="54" t="s">
        <v>244</v>
      </c>
    </row>
    <row r="208" spans="1:12" x14ac:dyDescent="0.25">
      <c r="A208" s="70" t="s">
        <v>78</v>
      </c>
      <c r="B208" s="31" t="s">
        <v>133</v>
      </c>
      <c r="C208" s="53">
        <v>5</v>
      </c>
      <c r="D208" s="71" t="s">
        <v>204</v>
      </c>
      <c r="E208" s="44" t="s">
        <v>283</v>
      </c>
      <c r="F208" s="70" t="s">
        <v>284</v>
      </c>
      <c r="G208" s="72">
        <v>5</v>
      </c>
      <c r="H208" s="53" t="s">
        <v>207</v>
      </c>
      <c r="I208" s="73">
        <v>1</v>
      </c>
      <c r="J208" s="74">
        <f>IF($D208="무료",0,IF($D208="메뉴",0,IF($D208="프렙",IFERROR(VLOOKUP($E208,'② 프렙 원가'!$B$6:$F$16,5,FALSE),0),IFERROR(VLOOKUP($E208,'① 식재료 단가'!$B$6:$G$123,6,FALSE),0))))</f>
      </c>
      <c r="K208" s="75">
        <f>IF($D208="메뉴",ROUND($G208*$J208,1),IF($I208&gt;0,ROUND($G208/$I208*$J208,1),0))</f>
      </c>
      <c r="L208" s="54" t="s">
        <v>66</v>
      </c>
    </row>
    <row r="209" spans="1:12" x14ac:dyDescent="0.25">
      <c r="A209" s="70" t="s">
        <v>78</v>
      </c>
      <c r="B209" s="31" t="s">
        <v>133</v>
      </c>
      <c r="C209" s="53">
        <v>6</v>
      </c>
      <c r="D209" s="76" t="s">
        <v>209</v>
      </c>
      <c r="E209" s="44" t="s">
        <v>210</v>
      </c>
      <c r="F209" s="70" t="s">
        <v>66</v>
      </c>
      <c r="G209" s="72">
        <v>115</v>
      </c>
      <c r="H209" s="53" t="s">
        <v>207</v>
      </c>
      <c r="I209" s="73">
        <v>1</v>
      </c>
      <c r="J209" s="74">
        <f>IF($D209="무료",0,IF($D209="메뉴",0,IF($D209="프렙",IFERROR(VLOOKUP($E209,'② 프렙 원가'!$B$6:$F$16,5,FALSE),0),IFERROR(VLOOKUP($E209,'① 식재료 단가'!$B$6:$G$123,6,FALSE),0))))</f>
      </c>
      <c r="K209" s="75">
        <f>IF($D209="메뉴",ROUND($G209*$J209,1),IF($I209&gt;0,ROUND($G209/$I209*$J209,1),0))</f>
      </c>
      <c r="L209" s="54" t="s">
        <v>66</v>
      </c>
    </row>
    <row r="210" spans="1:12" x14ac:dyDescent="0.25">
      <c r="A210" s="70" t="s">
        <v>78</v>
      </c>
      <c r="B210" s="31" t="s">
        <v>133</v>
      </c>
      <c r="C210" s="53">
        <v>7</v>
      </c>
      <c r="D210" s="71" t="s">
        <v>204</v>
      </c>
      <c r="E210" s="44" t="s">
        <v>216</v>
      </c>
      <c r="F210" s="70" t="s">
        <v>66</v>
      </c>
      <c r="G210" s="72">
        <v>5</v>
      </c>
      <c r="H210" s="53" t="s">
        <v>207</v>
      </c>
      <c r="I210" s="73">
        <v>1</v>
      </c>
      <c r="J210" s="74">
        <f>IF($D210="무료",0,IF($D210="메뉴",0,IF($D210="프렙",IFERROR(VLOOKUP($E210,'② 프렙 원가'!$B$6:$F$16,5,FALSE),0),IFERROR(VLOOKUP($E210,'① 식재료 단가'!$B$6:$G$123,6,FALSE),0))))</f>
      </c>
      <c r="K210" s="75">
        <f>IF($D210="메뉴",ROUND($G210*$J210,1),IF($I210&gt;0,ROUND($G210/$I210*$J210,1),0))</f>
      </c>
      <c r="L210" s="54" t="s">
        <v>66</v>
      </c>
    </row>
    <row r="211" spans="1:12" x14ac:dyDescent="0.25">
      <c r="A211" s="77" t="s">
        <v>78</v>
      </c>
      <c r="B211" s="36" t="s">
        <v>134</v>
      </c>
      <c r="C211" s="63">
        <v>1</v>
      </c>
      <c r="D211" s="79" t="s">
        <v>209</v>
      </c>
      <c r="E211" s="49" t="s">
        <v>265</v>
      </c>
      <c r="F211" s="77" t="s">
        <v>304</v>
      </c>
      <c r="G211" s="72">
        <v>80</v>
      </c>
      <c r="H211" s="63" t="s">
        <v>207</v>
      </c>
      <c r="I211" s="73">
        <v>1</v>
      </c>
      <c r="J211" s="74">
        <f>IF($D211="무료",0,IF($D211="메뉴",0,IF($D211="프렙",IFERROR(VLOOKUP($E211,'② 프렙 원가'!$B$6:$F$16,5,FALSE),0),IFERROR(VLOOKUP($E211,'① 식재료 단가'!$B$6:$G$123,6,FALSE),0))))</f>
      </c>
      <c r="K211" s="75">
        <f>IF($D211="메뉴",ROUND($G211*$J211,1),IF($I211&gt;0,ROUND($G211/$I211*$J211,1),0))</f>
      </c>
      <c r="L211" s="64" t="s">
        <v>322</v>
      </c>
    </row>
    <row r="212" spans="1:12" x14ac:dyDescent="0.25">
      <c r="A212" s="77" t="s">
        <v>78</v>
      </c>
      <c r="B212" s="36" t="s">
        <v>134</v>
      </c>
      <c r="C212" s="63">
        <v>2</v>
      </c>
      <c r="D212" s="79" t="s">
        <v>209</v>
      </c>
      <c r="E212" s="49" t="s">
        <v>210</v>
      </c>
      <c r="F212" s="77" t="s">
        <v>66</v>
      </c>
      <c r="G212" s="72">
        <v>200</v>
      </c>
      <c r="H212" s="63" t="s">
        <v>207</v>
      </c>
      <c r="I212" s="73">
        <v>1</v>
      </c>
      <c r="J212" s="74">
        <f>IF($D212="무료",0,IF($D212="메뉴",0,IF($D212="프렙",IFERROR(VLOOKUP($E212,'② 프렙 원가'!$B$6:$F$16,5,FALSE),0),IFERROR(VLOOKUP($E212,'① 식재료 단가'!$B$6:$G$123,6,FALSE),0))))</f>
      </c>
      <c r="K212" s="75">
        <f>IF($D212="메뉴",ROUND($G212*$J212,1),IF($I212&gt;0,ROUND($G212/$I212*$J212,1),0))</f>
      </c>
      <c r="L212" s="64" t="s">
        <v>66</v>
      </c>
    </row>
    <row r="213" spans="1:12" x14ac:dyDescent="0.25">
      <c r="A213" s="77" t="s">
        <v>78</v>
      </c>
      <c r="B213" s="36" t="s">
        <v>134</v>
      </c>
      <c r="C213" s="63">
        <v>3</v>
      </c>
      <c r="D213" s="78" t="s">
        <v>204</v>
      </c>
      <c r="E213" s="49" t="s">
        <v>279</v>
      </c>
      <c r="F213" s="77" t="s">
        <v>66</v>
      </c>
      <c r="G213" s="72">
        <v>10</v>
      </c>
      <c r="H213" s="63" t="s">
        <v>207</v>
      </c>
      <c r="I213" s="73">
        <v>1</v>
      </c>
      <c r="J213" s="74">
        <f>IF($D213="무료",0,IF($D213="메뉴",0,IF($D213="프렙",IFERROR(VLOOKUP($E213,'② 프렙 원가'!$B$6:$F$16,5,FALSE),0),IFERROR(VLOOKUP($E213,'① 식재료 단가'!$B$6:$G$123,6,FALSE),0))))</f>
      </c>
      <c r="K213" s="75">
        <f>IF($D213="메뉴",ROUND($G213*$J213,1),IF($I213&gt;0,ROUND($G213/$I213*$J213,1),0))</f>
      </c>
      <c r="L213" s="64" t="s">
        <v>272</v>
      </c>
    </row>
    <row r="214" spans="1:12" x14ac:dyDescent="0.25">
      <c r="A214" s="77" t="s">
        <v>78</v>
      </c>
      <c r="B214" s="36" t="s">
        <v>134</v>
      </c>
      <c r="C214" s="63">
        <v>4</v>
      </c>
      <c r="D214" s="78" t="s">
        <v>204</v>
      </c>
      <c r="E214" s="49" t="s">
        <v>270</v>
      </c>
      <c r="F214" s="77" t="s">
        <v>66</v>
      </c>
      <c r="G214" s="72">
        <v>15</v>
      </c>
      <c r="H214" s="63" t="s">
        <v>207</v>
      </c>
      <c r="I214" s="73">
        <v>1</v>
      </c>
      <c r="J214" s="74">
        <f>IF($D214="무료",0,IF($D214="메뉴",0,IF($D214="프렙",IFERROR(VLOOKUP($E214,'② 프렙 원가'!$B$6:$F$16,5,FALSE),0),IFERROR(VLOOKUP($E214,'① 식재료 단가'!$B$6:$G$123,6,FALSE),0))))</f>
      </c>
      <c r="K214" s="75">
        <f>IF($D214="메뉴",ROUND($G214*$J214,1),IF($I214&gt;0,ROUND($G214/$I214*$J214,1),0))</f>
      </c>
      <c r="L214" s="64" t="s">
        <v>271</v>
      </c>
    </row>
    <row r="215" spans="1:12" x14ac:dyDescent="0.25">
      <c r="A215" s="77" t="s">
        <v>78</v>
      </c>
      <c r="B215" s="36" t="s">
        <v>134</v>
      </c>
      <c r="C215" s="63">
        <v>5</v>
      </c>
      <c r="D215" s="78" t="s">
        <v>204</v>
      </c>
      <c r="E215" s="49" t="s">
        <v>273</v>
      </c>
      <c r="F215" s="77" t="s">
        <v>274</v>
      </c>
      <c r="G215" s="72">
        <v>5</v>
      </c>
      <c r="H215" s="63" t="s">
        <v>207</v>
      </c>
      <c r="I215" s="73">
        <v>1</v>
      </c>
      <c r="J215" s="74">
        <f>IF($D215="무료",0,IF($D215="메뉴",0,IF($D215="프렙",IFERROR(VLOOKUP($E215,'② 프렙 원가'!$B$6:$F$16,5,FALSE),0),IFERROR(VLOOKUP($E215,'① 식재료 단가'!$B$6:$G$123,6,FALSE),0))))</f>
      </c>
      <c r="K215" s="75">
        <f>IF($D215="메뉴",ROUND($G215*$J215,1),IF($I215&gt;0,ROUND($G215/$I215*$J215,1),0))</f>
      </c>
      <c r="L215" s="64" t="s">
        <v>66</v>
      </c>
    </row>
    <row r="216" spans="1:12" x14ac:dyDescent="0.25">
      <c r="A216" s="77" t="s">
        <v>78</v>
      </c>
      <c r="B216" s="36" t="s">
        <v>134</v>
      </c>
      <c r="C216" s="63">
        <v>6</v>
      </c>
      <c r="D216" s="78" t="s">
        <v>204</v>
      </c>
      <c r="E216" s="49" t="s">
        <v>275</v>
      </c>
      <c r="F216" s="77" t="s">
        <v>66</v>
      </c>
      <c r="G216" s="72">
        <v>10</v>
      </c>
      <c r="H216" s="63" t="s">
        <v>207</v>
      </c>
      <c r="I216" s="73">
        <v>1</v>
      </c>
      <c r="J216" s="74">
        <f>IF($D216="무료",0,IF($D216="메뉴",0,IF($D216="프렙",IFERROR(VLOOKUP($E216,'② 프렙 원가'!$B$6:$F$16,5,FALSE),0),IFERROR(VLOOKUP($E216,'① 식재료 단가'!$B$6:$G$123,6,FALSE),0))))</f>
      </c>
      <c r="K216" s="75">
        <f>IF($D216="메뉴",ROUND($G216*$J216,1),IF($I216&gt;0,ROUND($G216/$I216*$J216,1),0))</f>
      </c>
      <c r="L216" s="64" t="s">
        <v>66</v>
      </c>
    </row>
    <row r="217" spans="1:12" x14ac:dyDescent="0.25">
      <c r="A217" s="77" t="s">
        <v>78</v>
      </c>
      <c r="B217" s="36" t="s">
        <v>134</v>
      </c>
      <c r="C217" s="63">
        <v>7</v>
      </c>
      <c r="D217" s="78" t="s">
        <v>204</v>
      </c>
      <c r="E217" s="49" t="s">
        <v>276</v>
      </c>
      <c r="F217" s="77" t="s">
        <v>277</v>
      </c>
      <c r="G217" s="72">
        <v>10</v>
      </c>
      <c r="H217" s="63" t="s">
        <v>207</v>
      </c>
      <c r="I217" s="73">
        <v>1</v>
      </c>
      <c r="J217" s="74">
        <f>IF($D217="무료",0,IF($D217="메뉴",0,IF($D217="프렙",IFERROR(VLOOKUP($E217,'② 프렙 원가'!$B$6:$F$16,5,FALSE),0),IFERROR(VLOOKUP($E217,'① 식재료 단가'!$B$6:$G$123,6,FALSE),0))))</f>
      </c>
      <c r="K217" s="75">
        <f>IF($D217="메뉴",ROUND($G217*$J217,1),IF($I217&gt;0,ROUND($G217/$I217*$J217,1),0))</f>
      </c>
      <c r="L217" s="64" t="s">
        <v>66</v>
      </c>
    </row>
    <row r="218" spans="1:12" x14ac:dyDescent="0.25">
      <c r="A218" s="77" t="s">
        <v>78</v>
      </c>
      <c r="B218" s="36" t="s">
        <v>134</v>
      </c>
      <c r="C218" s="63">
        <v>8</v>
      </c>
      <c r="D218" s="78" t="s">
        <v>204</v>
      </c>
      <c r="E218" s="49" t="s">
        <v>215</v>
      </c>
      <c r="F218" s="77" t="s">
        <v>66</v>
      </c>
      <c r="G218" s="72">
        <v>20</v>
      </c>
      <c r="H218" s="63" t="s">
        <v>207</v>
      </c>
      <c r="I218" s="73">
        <v>1</v>
      </c>
      <c r="J218" s="74">
        <f>IF($D218="무료",0,IF($D218="메뉴",0,IF($D218="프렙",IFERROR(VLOOKUP($E218,'② 프렙 원가'!$B$6:$F$16,5,FALSE),0),IFERROR(VLOOKUP($E218,'① 식재료 단가'!$B$6:$G$123,6,FALSE),0))))</f>
      </c>
      <c r="K218" s="75">
        <f>IF($D218="메뉴",ROUND($G218*$J218,1),IF($I218&gt;0,ROUND($G218/$I218*$J218,1),0))</f>
      </c>
      <c r="L218" s="64" t="s">
        <v>66</v>
      </c>
    </row>
    <row r="219" spans="1:12" x14ac:dyDescent="0.25">
      <c r="A219" s="77" t="s">
        <v>78</v>
      </c>
      <c r="B219" s="36" t="s">
        <v>134</v>
      </c>
      <c r="C219" s="63">
        <v>9</v>
      </c>
      <c r="D219" s="78" t="s">
        <v>204</v>
      </c>
      <c r="E219" s="49" t="s">
        <v>241</v>
      </c>
      <c r="F219" s="77" t="s">
        <v>66</v>
      </c>
      <c r="G219" s="72">
        <v>10</v>
      </c>
      <c r="H219" s="63" t="s">
        <v>207</v>
      </c>
      <c r="I219" s="73">
        <v>1</v>
      </c>
      <c r="J219" s="74">
        <f>IF($D219="무료",0,IF($D219="메뉴",0,IF($D219="프렙",IFERROR(VLOOKUP($E219,'② 프렙 원가'!$B$6:$F$16,5,FALSE),0),IFERROR(VLOOKUP($E219,'① 식재료 단가'!$B$6:$G$123,6,FALSE),0))))</f>
      </c>
      <c r="K219" s="75">
        <f>IF($D219="메뉴",ROUND($G219*$J219,1),IF($I219&gt;0,ROUND($G219/$I219*$J219,1),0))</f>
      </c>
      <c r="L219" s="64" t="s">
        <v>272</v>
      </c>
    </row>
    <row r="220" spans="1:12" x14ac:dyDescent="0.25">
      <c r="A220" s="77" t="s">
        <v>78</v>
      </c>
      <c r="B220" s="36" t="s">
        <v>134</v>
      </c>
      <c r="C220" s="63">
        <v>10</v>
      </c>
      <c r="D220" s="78" t="s">
        <v>204</v>
      </c>
      <c r="E220" s="49" t="s">
        <v>216</v>
      </c>
      <c r="F220" s="77" t="s">
        <v>66</v>
      </c>
      <c r="G220" s="72">
        <v>10</v>
      </c>
      <c r="H220" s="63" t="s">
        <v>207</v>
      </c>
      <c r="I220" s="73">
        <v>1</v>
      </c>
      <c r="J220" s="74">
        <f>IF($D220="무료",0,IF($D220="메뉴",0,IF($D220="프렙",IFERROR(VLOOKUP($E220,'② 프렙 원가'!$B$6:$F$16,5,FALSE),0),IFERROR(VLOOKUP($E220,'① 식재료 단가'!$B$6:$G$123,6,FALSE),0))))</f>
      </c>
      <c r="K220" s="75">
        <f>IF($D220="메뉴",ROUND($G220*$J220,1),IF($I220&gt;0,ROUND($G220/$I220*$J220,1),0))</f>
      </c>
      <c r="L220" s="64" t="s">
        <v>66</v>
      </c>
    </row>
    <row r="221" spans="1:12" x14ac:dyDescent="0.25">
      <c r="A221" s="70" t="s">
        <v>78</v>
      </c>
      <c r="B221" s="31" t="s">
        <v>135</v>
      </c>
      <c r="C221" s="53">
        <v>1</v>
      </c>
      <c r="D221" s="76" t="s">
        <v>209</v>
      </c>
      <c r="E221" s="44" t="s">
        <v>265</v>
      </c>
      <c r="F221" s="70" t="s">
        <v>304</v>
      </c>
      <c r="G221" s="72">
        <v>50</v>
      </c>
      <c r="H221" s="53" t="s">
        <v>207</v>
      </c>
      <c r="I221" s="73">
        <v>1</v>
      </c>
      <c r="J221" s="74">
        <f>IF($D221="무료",0,IF($D221="메뉴",0,IF($D221="프렙",IFERROR(VLOOKUP($E221,'② 프렙 원가'!$B$6:$F$16,5,FALSE),0),IFERROR(VLOOKUP($E221,'① 식재료 단가'!$B$6:$G$123,6,FALSE),0))))</f>
      </c>
      <c r="K221" s="75">
        <f>IF($D221="메뉴",ROUND($G221*$J221,1),IF($I221&gt;0,ROUND($G221/$I221*$J221,1),0))</f>
      </c>
      <c r="L221" s="54" t="s">
        <v>230</v>
      </c>
    </row>
    <row r="222" spans="1:12" x14ac:dyDescent="0.25">
      <c r="A222" s="70" t="s">
        <v>78</v>
      </c>
      <c r="B222" s="31" t="s">
        <v>135</v>
      </c>
      <c r="C222" s="53">
        <v>2</v>
      </c>
      <c r="D222" s="76" t="s">
        <v>209</v>
      </c>
      <c r="E222" s="44" t="s">
        <v>210</v>
      </c>
      <c r="F222" s="70" t="s">
        <v>66</v>
      </c>
      <c r="G222" s="72">
        <v>130</v>
      </c>
      <c r="H222" s="53" t="s">
        <v>207</v>
      </c>
      <c r="I222" s="73">
        <v>1</v>
      </c>
      <c r="J222" s="74">
        <f>IF($D222="무료",0,IF($D222="메뉴",0,IF($D222="프렙",IFERROR(VLOOKUP($E222,'② 프렙 원가'!$B$6:$F$16,5,FALSE),0),IFERROR(VLOOKUP($E222,'① 식재료 단가'!$B$6:$G$123,6,FALSE),0))))</f>
      </c>
      <c r="K222" s="75">
        <f>IF($D222="메뉴",ROUND($G222*$J222,1),IF($I222&gt;0,ROUND($G222/$I222*$J222,1),0))</f>
      </c>
      <c r="L222" s="54" t="s">
        <v>66</v>
      </c>
    </row>
    <row r="223" spans="1:12" x14ac:dyDescent="0.25">
      <c r="A223" s="70" t="s">
        <v>78</v>
      </c>
      <c r="B223" s="31" t="s">
        <v>135</v>
      </c>
      <c r="C223" s="53">
        <v>3</v>
      </c>
      <c r="D223" s="71" t="s">
        <v>204</v>
      </c>
      <c r="E223" s="44" t="s">
        <v>212</v>
      </c>
      <c r="F223" s="70" t="s">
        <v>213</v>
      </c>
      <c r="G223" s="72">
        <v>5</v>
      </c>
      <c r="H223" s="53" t="s">
        <v>207</v>
      </c>
      <c r="I223" s="73">
        <v>1</v>
      </c>
      <c r="J223" s="74">
        <f>IF($D223="무료",0,IF($D223="메뉴",0,IF($D223="프렙",IFERROR(VLOOKUP($E223,'② 프렙 원가'!$B$6:$F$16,5,FALSE),0),IFERROR(VLOOKUP($E223,'① 식재료 단가'!$B$6:$G$123,6,FALSE),0))))</f>
      </c>
      <c r="K223" s="75">
        <f>IF($D223="메뉴",ROUND($G223*$J223,1),IF($I223&gt;0,ROUND($G223/$I223*$J223,1),0))</f>
      </c>
      <c r="L223" s="54" t="s">
        <v>66</v>
      </c>
    </row>
    <row r="224" spans="1:12" x14ac:dyDescent="0.25">
      <c r="A224" s="70" t="s">
        <v>78</v>
      </c>
      <c r="B224" s="31" t="s">
        <v>135</v>
      </c>
      <c r="C224" s="53">
        <v>4</v>
      </c>
      <c r="D224" s="71" t="s">
        <v>204</v>
      </c>
      <c r="E224" s="44" t="s">
        <v>241</v>
      </c>
      <c r="F224" s="70" t="s">
        <v>66</v>
      </c>
      <c r="G224" s="72">
        <v>5</v>
      </c>
      <c r="H224" s="53" t="s">
        <v>207</v>
      </c>
      <c r="I224" s="73">
        <v>1</v>
      </c>
      <c r="J224" s="74">
        <f>IF($D224="무료",0,IF($D224="메뉴",0,IF($D224="프렙",IFERROR(VLOOKUP($E224,'② 프렙 원가'!$B$6:$F$16,5,FALSE),0),IFERROR(VLOOKUP($E224,'① 식재료 단가'!$B$6:$G$123,6,FALSE),0))))</f>
      </c>
      <c r="K224" s="75">
        <f>IF($D224="메뉴",ROUND($G224*$J224,1),IF($I224&gt;0,ROUND($G224/$I224*$J224,1),0))</f>
      </c>
      <c r="L224" s="54" t="s">
        <v>242</v>
      </c>
    </row>
    <row r="225" spans="1:12" x14ac:dyDescent="0.25">
      <c r="A225" s="70" t="s">
        <v>78</v>
      </c>
      <c r="B225" s="31" t="s">
        <v>135</v>
      </c>
      <c r="C225" s="53">
        <v>5</v>
      </c>
      <c r="D225" s="71" t="s">
        <v>204</v>
      </c>
      <c r="E225" s="44" t="s">
        <v>217</v>
      </c>
      <c r="F225" s="70" t="s">
        <v>66</v>
      </c>
      <c r="G225" s="72">
        <v>20</v>
      </c>
      <c r="H225" s="53" t="s">
        <v>207</v>
      </c>
      <c r="I225" s="73">
        <v>1</v>
      </c>
      <c r="J225" s="74">
        <f>IF($D225="무료",0,IF($D225="메뉴",0,IF($D225="프렙",IFERROR(VLOOKUP($E225,'② 프렙 원가'!$B$6:$F$16,5,FALSE),0),IFERROR(VLOOKUP($E225,'① 식재료 단가'!$B$6:$G$123,6,FALSE),0))))</f>
      </c>
      <c r="K225" s="75">
        <f>IF($D225="메뉴",ROUND($G225*$J225,1),IF($I225&gt;0,ROUND($G225/$I225*$J225,1),0))</f>
      </c>
      <c r="L225" s="54" t="s">
        <v>323</v>
      </c>
    </row>
    <row r="226" spans="1:12" x14ac:dyDescent="0.25">
      <c r="A226" s="70" t="s">
        <v>78</v>
      </c>
      <c r="B226" s="31" t="s">
        <v>135</v>
      </c>
      <c r="C226" s="53">
        <v>6</v>
      </c>
      <c r="D226" s="71" t="s">
        <v>204</v>
      </c>
      <c r="E226" s="44" t="s">
        <v>215</v>
      </c>
      <c r="F226" s="70" t="s">
        <v>66</v>
      </c>
      <c r="G226" s="72">
        <v>20</v>
      </c>
      <c r="H226" s="53" t="s">
        <v>207</v>
      </c>
      <c r="I226" s="73">
        <v>1</v>
      </c>
      <c r="J226" s="74">
        <f>IF($D226="무료",0,IF($D226="메뉴",0,IF($D226="프렙",IFERROR(VLOOKUP($E226,'② 프렙 원가'!$B$6:$F$16,5,FALSE),0),IFERROR(VLOOKUP($E226,'① 식재료 단가'!$B$6:$G$123,6,FALSE),0))))</f>
      </c>
      <c r="K226" s="75">
        <f>IF($D226="메뉴",ROUND($G226*$J226,1),IF($I226&gt;0,ROUND($G226/$I226*$J226,1),0))</f>
      </c>
      <c r="L226" s="54" t="s">
        <v>66</v>
      </c>
    </row>
    <row r="227" spans="1:12" x14ac:dyDescent="0.25">
      <c r="A227" s="70" t="s">
        <v>78</v>
      </c>
      <c r="B227" s="31" t="s">
        <v>135</v>
      </c>
      <c r="C227" s="53">
        <v>7</v>
      </c>
      <c r="D227" s="71" t="s">
        <v>204</v>
      </c>
      <c r="E227" s="44" t="s">
        <v>216</v>
      </c>
      <c r="F227" s="70" t="s">
        <v>66</v>
      </c>
      <c r="G227" s="72">
        <v>15</v>
      </c>
      <c r="H227" s="53" t="s">
        <v>207</v>
      </c>
      <c r="I227" s="73">
        <v>1</v>
      </c>
      <c r="J227" s="74">
        <f>IF($D227="무료",0,IF($D227="메뉴",0,IF($D227="프렙",IFERROR(VLOOKUP($E227,'② 프렙 원가'!$B$6:$F$16,5,FALSE),0),IFERROR(VLOOKUP($E227,'① 식재료 단가'!$B$6:$G$123,6,FALSE),0))))</f>
      </c>
      <c r="K227" s="75">
        <f>IF($D227="메뉴",ROUND($G227*$J227,1),IF($I227&gt;0,ROUND($G227/$I227*$J227,1),0))</f>
      </c>
      <c r="L227" s="54" t="s">
        <v>66</v>
      </c>
    </row>
    <row r="228" spans="1:12" x14ac:dyDescent="0.25">
      <c r="A228" s="77" t="s">
        <v>78</v>
      </c>
      <c r="B228" s="36" t="s">
        <v>136</v>
      </c>
      <c r="C228" s="63">
        <v>1</v>
      </c>
      <c r="D228" s="79" t="s">
        <v>209</v>
      </c>
      <c r="E228" s="49" t="s">
        <v>317</v>
      </c>
      <c r="F228" s="77" t="s">
        <v>66</v>
      </c>
      <c r="G228" s="72">
        <v>165</v>
      </c>
      <c r="H228" s="63" t="s">
        <v>207</v>
      </c>
      <c r="I228" s="73">
        <v>1</v>
      </c>
      <c r="J228" s="74">
        <f>IF($D228="무료",0,IF($D228="메뉴",0,IF($D228="프렙",IFERROR(VLOOKUP($E228,'② 프렙 원가'!$B$6:$F$16,5,FALSE),0),IFERROR(VLOOKUP($E228,'① 식재료 단가'!$B$6:$G$123,6,FALSE),0))))</f>
      </c>
      <c r="K228" s="75">
        <f>IF($D228="메뉴",ROUND($G228*$J228,1),IF($I228&gt;0,ROUND($G228/$I228*$J228,1),0))</f>
      </c>
      <c r="L228" s="64" t="s">
        <v>211</v>
      </c>
    </row>
    <row r="229" spans="1:12" x14ac:dyDescent="0.25">
      <c r="A229" s="77" t="s">
        <v>78</v>
      </c>
      <c r="B229" s="36" t="s">
        <v>136</v>
      </c>
      <c r="C229" s="63">
        <v>2</v>
      </c>
      <c r="D229" s="79" t="s">
        <v>209</v>
      </c>
      <c r="E229" s="49" t="s">
        <v>265</v>
      </c>
      <c r="F229" s="77" t="s">
        <v>324</v>
      </c>
      <c r="G229" s="72">
        <v>65</v>
      </c>
      <c r="H229" s="63" t="s">
        <v>207</v>
      </c>
      <c r="I229" s="73">
        <v>1</v>
      </c>
      <c r="J229" s="74">
        <f>IF($D229="무료",0,IF($D229="메뉴",0,IF($D229="프렙",IFERROR(VLOOKUP($E229,'② 프렙 원가'!$B$6:$F$16,5,FALSE),0),IFERROR(VLOOKUP($E229,'① 식재료 단가'!$B$6:$G$123,6,FALSE),0))))</f>
      </c>
      <c r="K229" s="75">
        <f>IF($D229="메뉴",ROUND($G229*$J229,1),IF($I229&gt;0,ROUND($G229/$I229*$J229,1),0))</f>
      </c>
      <c r="L229" s="64" t="s">
        <v>325</v>
      </c>
    </row>
    <row r="230" spans="1:12" x14ac:dyDescent="0.25">
      <c r="A230" s="77" t="s">
        <v>78</v>
      </c>
      <c r="B230" s="36" t="s">
        <v>136</v>
      </c>
      <c r="C230" s="63">
        <v>3</v>
      </c>
      <c r="D230" s="78" t="s">
        <v>204</v>
      </c>
      <c r="E230" s="49" t="s">
        <v>215</v>
      </c>
      <c r="F230" s="77" t="s">
        <v>66</v>
      </c>
      <c r="G230" s="72">
        <v>10</v>
      </c>
      <c r="H230" s="63" t="s">
        <v>207</v>
      </c>
      <c r="I230" s="73">
        <v>1</v>
      </c>
      <c r="J230" s="74">
        <f>IF($D230="무료",0,IF($D230="메뉴",0,IF($D230="프렙",IFERROR(VLOOKUP($E230,'② 프렙 원가'!$B$6:$F$16,5,FALSE),0),IFERROR(VLOOKUP($E230,'① 식재료 단가'!$B$6:$G$123,6,FALSE),0))))</f>
      </c>
      <c r="K230" s="75">
        <f>IF($D230="메뉴",ROUND($G230*$J230,1),IF($I230&gt;0,ROUND($G230/$I230*$J230,1),0))</f>
      </c>
      <c r="L230" s="64" t="s">
        <v>66</v>
      </c>
    </row>
    <row r="231" spans="1:12" x14ac:dyDescent="0.25">
      <c r="A231" s="77" t="s">
        <v>78</v>
      </c>
      <c r="B231" s="36" t="s">
        <v>136</v>
      </c>
      <c r="C231" s="63">
        <v>4</v>
      </c>
      <c r="D231" s="78" t="s">
        <v>204</v>
      </c>
      <c r="E231" s="49" t="s">
        <v>216</v>
      </c>
      <c r="F231" s="77" t="s">
        <v>66</v>
      </c>
      <c r="G231" s="72">
        <v>3</v>
      </c>
      <c r="H231" s="63" t="s">
        <v>207</v>
      </c>
      <c r="I231" s="73">
        <v>1</v>
      </c>
      <c r="J231" s="74">
        <f>IF($D231="무료",0,IF($D231="메뉴",0,IF($D231="프렙",IFERROR(VLOOKUP($E231,'② 프렙 원가'!$B$6:$F$16,5,FALSE),0),IFERROR(VLOOKUP($E231,'① 식재료 단가'!$B$6:$G$123,6,FALSE),0))))</f>
      </c>
      <c r="K231" s="75">
        <f>IF($D231="메뉴",ROUND($G231*$J231,1),IF($I231&gt;0,ROUND($G231/$I231*$J231,1),0))</f>
      </c>
      <c r="L231" s="64" t="s">
        <v>66</v>
      </c>
    </row>
    <row r="232" spans="1:12" x14ac:dyDescent="0.25">
      <c r="A232" s="77" t="s">
        <v>78</v>
      </c>
      <c r="B232" s="36" t="s">
        <v>136</v>
      </c>
      <c r="C232" s="63">
        <v>5</v>
      </c>
      <c r="D232" s="78" t="s">
        <v>204</v>
      </c>
      <c r="E232" s="49" t="s">
        <v>212</v>
      </c>
      <c r="F232" s="77" t="s">
        <v>66</v>
      </c>
      <c r="G232" s="72">
        <v>5</v>
      </c>
      <c r="H232" s="63" t="s">
        <v>207</v>
      </c>
      <c r="I232" s="73">
        <v>1</v>
      </c>
      <c r="J232" s="74">
        <f>IF($D232="무료",0,IF($D232="메뉴",0,IF($D232="프렙",IFERROR(VLOOKUP($E232,'② 프렙 원가'!$B$6:$F$16,5,FALSE),0),IFERROR(VLOOKUP($E232,'① 식재료 단가'!$B$6:$G$123,6,FALSE),0))))</f>
      </c>
      <c r="K232" s="75">
        <f>IF($D232="메뉴",ROUND($G232*$J232,1),IF($I232&gt;0,ROUND($G232/$I232*$J232,1),0))</f>
      </c>
      <c r="L232" s="64" t="s">
        <v>66</v>
      </c>
    </row>
    <row r="233" spans="1:12" x14ac:dyDescent="0.25">
      <c r="A233" s="70" t="s">
        <v>79</v>
      </c>
      <c r="B233" s="31" t="s">
        <v>137</v>
      </c>
      <c r="C233" s="53">
        <v>1</v>
      </c>
      <c r="D233" s="71" t="s">
        <v>204</v>
      </c>
      <c r="E233" s="44" t="s">
        <v>278</v>
      </c>
      <c r="F233" s="70" t="s">
        <v>66</v>
      </c>
      <c r="G233" s="72">
        <v>250</v>
      </c>
      <c r="H233" s="53" t="s">
        <v>207</v>
      </c>
      <c r="I233" s="73">
        <v>1</v>
      </c>
      <c r="J233" s="74">
        <f>IF($D233="무료",0,IF($D233="메뉴",0,IF($D233="프렙",IFERROR(VLOOKUP($E233,'② 프렙 원가'!$B$6:$F$16,5,FALSE),0),IFERROR(VLOOKUP($E233,'① 식재료 단가'!$B$6:$G$123,6,FALSE),0))))</f>
      </c>
      <c r="K233" s="75">
        <f>IF($D233="메뉴",ROUND($G233*$J233,1),IF($I233&gt;0,ROUND($G233/$I233*$J233,1),0))</f>
      </c>
      <c r="L233" s="54" t="s">
        <v>326</v>
      </c>
    </row>
    <row r="234" spans="1:12" x14ac:dyDescent="0.25">
      <c r="A234" s="70" t="s">
        <v>79</v>
      </c>
      <c r="B234" s="31" t="s">
        <v>137</v>
      </c>
      <c r="C234" s="53">
        <v>2</v>
      </c>
      <c r="D234" s="71" t="s">
        <v>204</v>
      </c>
      <c r="E234" s="44" t="s">
        <v>327</v>
      </c>
      <c r="F234" s="70" t="s">
        <v>66</v>
      </c>
      <c r="G234" s="72">
        <v>5</v>
      </c>
      <c r="H234" s="53" t="s">
        <v>207</v>
      </c>
      <c r="I234" s="73">
        <v>1</v>
      </c>
      <c r="J234" s="74">
        <f>IF($D234="무료",0,IF($D234="메뉴",0,IF($D234="프렙",IFERROR(VLOOKUP($E234,'② 프렙 원가'!$B$6:$F$16,5,FALSE),0),IFERROR(VLOOKUP($E234,'① 식재료 단가'!$B$6:$G$123,6,FALSE),0))))</f>
      </c>
      <c r="K234" s="75">
        <f>IF($D234="메뉴",ROUND($G234*$J234,1),IF($I234&gt;0,ROUND($G234/$I234*$J234,1),0))</f>
      </c>
      <c r="L234" s="54" t="s">
        <v>66</v>
      </c>
    </row>
    <row r="235" spans="1:12" x14ac:dyDescent="0.25">
      <c r="A235" s="70" t="s">
        <v>79</v>
      </c>
      <c r="B235" s="31" t="s">
        <v>137</v>
      </c>
      <c r="C235" s="53">
        <v>3</v>
      </c>
      <c r="D235" s="71" t="s">
        <v>204</v>
      </c>
      <c r="E235" s="44" t="s">
        <v>328</v>
      </c>
      <c r="F235" s="70" t="s">
        <v>329</v>
      </c>
      <c r="G235" s="72">
        <v>5</v>
      </c>
      <c r="H235" s="53" t="s">
        <v>207</v>
      </c>
      <c r="I235" s="73">
        <v>1</v>
      </c>
      <c r="J235" s="74">
        <f>IF($D235="무료",0,IF($D235="메뉴",0,IF($D235="프렙",IFERROR(VLOOKUP($E235,'② 프렙 원가'!$B$6:$F$16,5,FALSE),0),IFERROR(VLOOKUP($E235,'① 식재료 단가'!$B$6:$G$123,6,FALSE),0))))</f>
      </c>
      <c r="K235" s="75">
        <f>IF($D235="메뉴",ROUND($G235*$J235,1),IF($I235&gt;0,ROUND($G235/$I235*$J235,1),0))</f>
      </c>
      <c r="L235" s="54" t="s">
        <v>66</v>
      </c>
    </row>
    <row r="236" spans="1:12" x14ac:dyDescent="0.25">
      <c r="A236" s="70" t="s">
        <v>79</v>
      </c>
      <c r="B236" s="31" t="s">
        <v>137</v>
      </c>
      <c r="C236" s="53">
        <v>4</v>
      </c>
      <c r="D236" s="71" t="s">
        <v>204</v>
      </c>
      <c r="E236" s="44" t="s">
        <v>301</v>
      </c>
      <c r="F236" s="70" t="s">
        <v>66</v>
      </c>
      <c r="G236" s="72">
        <v>3</v>
      </c>
      <c r="H236" s="53" t="s">
        <v>207</v>
      </c>
      <c r="I236" s="73">
        <v>1</v>
      </c>
      <c r="J236" s="74">
        <f>IF($D236="무료",0,IF($D236="메뉴",0,IF($D236="프렙",IFERROR(VLOOKUP($E236,'② 프렙 원가'!$B$6:$F$16,5,FALSE),0),IFERROR(VLOOKUP($E236,'① 식재료 단가'!$B$6:$G$123,6,FALSE),0))))</f>
      </c>
      <c r="K236" s="75">
        <f>IF($D236="메뉴",ROUND($G236*$J236,1),IF($I236&gt;0,ROUND($G236/$I236*$J236,1),0))</f>
      </c>
      <c r="L236" s="54" t="s">
        <v>66</v>
      </c>
    </row>
    <row r="237" spans="1:12" x14ac:dyDescent="0.25">
      <c r="A237" s="70" t="s">
        <v>79</v>
      </c>
      <c r="B237" s="31" t="s">
        <v>137</v>
      </c>
      <c r="C237" s="53">
        <v>5</v>
      </c>
      <c r="D237" s="71" t="s">
        <v>204</v>
      </c>
      <c r="E237" s="44" t="s">
        <v>246</v>
      </c>
      <c r="F237" s="70" t="s">
        <v>247</v>
      </c>
      <c r="G237" s="72">
        <v>10</v>
      </c>
      <c r="H237" s="53" t="s">
        <v>207</v>
      </c>
      <c r="I237" s="73">
        <v>1</v>
      </c>
      <c r="J237" s="74">
        <f>IF($D237="무료",0,IF($D237="메뉴",0,IF($D237="프렙",IFERROR(VLOOKUP($E237,'② 프렙 원가'!$B$6:$F$16,5,FALSE),0),IFERROR(VLOOKUP($E237,'① 식재료 단가'!$B$6:$G$123,6,FALSE),0))))</f>
      </c>
      <c r="K237" s="75">
        <f>IF($D237="메뉴",ROUND($G237*$J237,1),IF($I237&gt;0,ROUND($G237/$I237*$J237,1),0))</f>
      </c>
      <c r="L237" s="54" t="s">
        <v>66</v>
      </c>
    </row>
    <row r="238" spans="1:12" x14ac:dyDescent="0.25">
      <c r="A238" s="70" t="s">
        <v>79</v>
      </c>
      <c r="B238" s="31" t="s">
        <v>137</v>
      </c>
      <c r="C238" s="53">
        <v>6</v>
      </c>
      <c r="D238" s="71" t="s">
        <v>204</v>
      </c>
      <c r="E238" s="44" t="s">
        <v>330</v>
      </c>
      <c r="F238" s="70" t="s">
        <v>331</v>
      </c>
      <c r="G238" s="72">
        <v>30</v>
      </c>
      <c r="H238" s="53" t="s">
        <v>207</v>
      </c>
      <c r="I238" s="73">
        <v>1</v>
      </c>
      <c r="J238" s="74">
        <f>IF($D238="무료",0,IF($D238="메뉴",0,IF($D238="프렙",IFERROR(VLOOKUP($E238,'② 프렙 원가'!$B$6:$F$16,5,FALSE),0),IFERROR(VLOOKUP($E238,'① 식재료 단가'!$B$6:$G$123,6,FALSE),0))))</f>
      </c>
      <c r="K238" s="75">
        <f>IF($D238="메뉴",ROUND($G238*$J238,1),IF($I238&gt;0,ROUND($G238/$I238*$J238,1),0))</f>
      </c>
      <c r="L238" s="54" t="s">
        <v>332</v>
      </c>
    </row>
    <row r="239" spans="1:12" x14ac:dyDescent="0.25">
      <c r="A239" s="70" t="s">
        <v>79</v>
      </c>
      <c r="B239" s="31" t="s">
        <v>137</v>
      </c>
      <c r="C239" s="53">
        <v>7</v>
      </c>
      <c r="D239" s="71" t="s">
        <v>204</v>
      </c>
      <c r="E239" s="44" t="s">
        <v>333</v>
      </c>
      <c r="F239" s="70" t="s">
        <v>66</v>
      </c>
      <c r="G239" s="72">
        <v>5</v>
      </c>
      <c r="H239" s="53" t="s">
        <v>207</v>
      </c>
      <c r="I239" s="73">
        <v>1</v>
      </c>
      <c r="J239" s="74">
        <f>IF($D239="무료",0,IF($D239="메뉴",0,IF($D239="프렙",IFERROR(VLOOKUP($E239,'② 프렙 원가'!$B$6:$F$16,5,FALSE),0),IFERROR(VLOOKUP($E239,'① 식재료 단가'!$B$6:$G$123,6,FALSE),0))))</f>
      </c>
      <c r="K239" s="75">
        <f>IF($D239="메뉴",ROUND($G239*$J239,1),IF($I239&gt;0,ROUND($G239/$I239*$J239,1),0))</f>
      </c>
      <c r="L239" s="54" t="s">
        <v>66</v>
      </c>
    </row>
    <row r="240" spans="1:12" x14ac:dyDescent="0.25">
      <c r="A240" s="70" t="s">
        <v>79</v>
      </c>
      <c r="B240" s="31" t="s">
        <v>137</v>
      </c>
      <c r="C240" s="53">
        <v>8</v>
      </c>
      <c r="D240" s="71" t="s">
        <v>204</v>
      </c>
      <c r="E240" s="44" t="s">
        <v>238</v>
      </c>
      <c r="F240" s="70" t="s">
        <v>66</v>
      </c>
      <c r="G240" s="72">
        <v>5</v>
      </c>
      <c r="H240" s="53" t="s">
        <v>207</v>
      </c>
      <c r="I240" s="73">
        <v>1</v>
      </c>
      <c r="J240" s="74">
        <f>IF($D240="무료",0,IF($D240="메뉴",0,IF($D240="프렙",IFERROR(VLOOKUP($E240,'② 프렙 원가'!$B$6:$F$16,5,FALSE),0),IFERROR(VLOOKUP($E240,'① 식재료 단가'!$B$6:$G$123,6,FALSE),0))))</f>
      </c>
      <c r="K240" s="75">
        <f>IF($D240="메뉴",ROUND($G240*$J240,1),IF($I240&gt;0,ROUND($G240/$I240*$J240,1),0))</f>
      </c>
      <c r="L240" s="54" t="s">
        <v>66</v>
      </c>
    </row>
    <row r="241" spans="1:12" x14ac:dyDescent="0.25">
      <c r="A241" s="70" t="s">
        <v>79</v>
      </c>
      <c r="B241" s="31" t="s">
        <v>137</v>
      </c>
      <c r="C241" s="53">
        <v>9</v>
      </c>
      <c r="D241" s="71" t="s">
        <v>204</v>
      </c>
      <c r="E241" s="44" t="s">
        <v>334</v>
      </c>
      <c r="F241" s="70" t="s">
        <v>66</v>
      </c>
      <c r="G241" s="72">
        <v>5</v>
      </c>
      <c r="H241" s="53" t="s">
        <v>207</v>
      </c>
      <c r="I241" s="73">
        <v>1</v>
      </c>
      <c r="J241" s="74">
        <f>IF($D241="무료",0,IF($D241="메뉴",0,IF($D241="프렙",IFERROR(VLOOKUP($E241,'② 프렙 원가'!$B$6:$F$16,5,FALSE),0),IFERROR(VLOOKUP($E241,'① 식재료 단가'!$B$6:$G$123,6,FALSE),0))))</f>
      </c>
      <c r="K241" s="75">
        <f>IF($D241="메뉴",ROUND($G241*$J241,1),IF($I241&gt;0,ROUND($G241/$I241*$J241,1),0))</f>
      </c>
      <c r="L241" s="54" t="s">
        <v>335</v>
      </c>
    </row>
    <row r="242" spans="1:12" x14ac:dyDescent="0.25">
      <c r="A242" s="70" t="s">
        <v>79</v>
      </c>
      <c r="B242" s="31" t="s">
        <v>137</v>
      </c>
      <c r="C242" s="53">
        <v>10</v>
      </c>
      <c r="D242" s="71" t="s">
        <v>204</v>
      </c>
      <c r="E242" s="44" t="s">
        <v>336</v>
      </c>
      <c r="F242" s="70" t="s">
        <v>66</v>
      </c>
      <c r="G242" s="72">
        <v>5</v>
      </c>
      <c r="H242" s="53" t="s">
        <v>207</v>
      </c>
      <c r="I242" s="73">
        <v>1</v>
      </c>
      <c r="J242" s="74">
        <f>IF($D242="무료",0,IF($D242="메뉴",0,IF($D242="프렙",IFERROR(VLOOKUP($E242,'② 프렙 원가'!$B$6:$F$16,5,FALSE),0),IFERROR(VLOOKUP($E242,'① 식재료 단가'!$B$6:$G$123,6,FALSE),0))))</f>
      </c>
      <c r="K242" s="75">
        <f>IF($D242="메뉴",ROUND($G242*$J242,1),IF($I242&gt;0,ROUND($G242/$I242*$J242,1),0))</f>
      </c>
      <c r="L242" s="54" t="s">
        <v>335</v>
      </c>
    </row>
    <row r="243" spans="1:12" x14ac:dyDescent="0.25">
      <c r="A243" s="70" t="s">
        <v>79</v>
      </c>
      <c r="B243" s="31" t="s">
        <v>137</v>
      </c>
      <c r="C243" s="53">
        <v>11</v>
      </c>
      <c r="D243" s="71" t="s">
        <v>204</v>
      </c>
      <c r="E243" s="44" t="s">
        <v>279</v>
      </c>
      <c r="F243" s="70" t="s">
        <v>66</v>
      </c>
      <c r="G243" s="72">
        <v>10</v>
      </c>
      <c r="H243" s="53" t="s">
        <v>207</v>
      </c>
      <c r="I243" s="73">
        <v>1</v>
      </c>
      <c r="J243" s="74">
        <f>IF($D243="무료",0,IF($D243="메뉴",0,IF($D243="프렙",IFERROR(VLOOKUP($E243,'② 프렙 원가'!$B$6:$F$16,5,FALSE),0),IFERROR(VLOOKUP($E243,'① 식재료 단가'!$B$6:$G$123,6,FALSE),0))))</f>
      </c>
      <c r="K243" s="75">
        <f>IF($D243="메뉴",ROUND($G243*$J243,1),IF($I243&gt;0,ROUND($G243/$I243*$J243,1),0))</f>
      </c>
      <c r="L243" s="54" t="s">
        <v>66</v>
      </c>
    </row>
    <row r="244" spans="1:12" x14ac:dyDescent="0.25">
      <c r="A244" s="77" t="s">
        <v>79</v>
      </c>
      <c r="B244" s="36" t="s">
        <v>138</v>
      </c>
      <c r="C244" s="63">
        <v>1</v>
      </c>
      <c r="D244" s="78" t="s">
        <v>204</v>
      </c>
      <c r="E244" s="49" t="s">
        <v>205</v>
      </c>
      <c r="F244" s="77" t="s">
        <v>206</v>
      </c>
      <c r="G244" s="72">
        <v>450</v>
      </c>
      <c r="H244" s="63" t="s">
        <v>207</v>
      </c>
      <c r="I244" s="73">
        <v>1</v>
      </c>
      <c r="J244" s="74">
        <f>IF($D244="무료",0,IF($D244="메뉴",0,IF($D244="프렙",IFERROR(VLOOKUP($E244,'② 프렙 원가'!$B$6:$F$16,5,FALSE),0),IFERROR(VLOOKUP($E244,'① 식재료 단가'!$B$6:$G$123,6,FALSE),0))))</f>
      </c>
      <c r="K244" s="75">
        <f>IF($D244="메뉴",ROUND($G244*$J244,1),IF($I244&gt;0,ROUND($G244/$I244*$J244,1),0))</f>
      </c>
      <c r="L244" s="64" t="s">
        <v>337</v>
      </c>
    </row>
    <row r="245" spans="1:12" x14ac:dyDescent="0.25">
      <c r="A245" s="77" t="s">
        <v>79</v>
      </c>
      <c r="B245" s="36" t="s">
        <v>138</v>
      </c>
      <c r="C245" s="63">
        <v>2</v>
      </c>
      <c r="D245" s="78" t="s">
        <v>204</v>
      </c>
      <c r="E245" s="49" t="s">
        <v>338</v>
      </c>
      <c r="F245" s="77" t="s">
        <v>339</v>
      </c>
      <c r="G245" s="72">
        <v>300</v>
      </c>
      <c r="H245" s="63" t="s">
        <v>207</v>
      </c>
      <c r="I245" s="73">
        <v>1</v>
      </c>
      <c r="J245" s="74">
        <f>IF($D245="무료",0,IF($D245="메뉴",0,IF($D245="프렙",IFERROR(VLOOKUP($E245,'② 프렙 원가'!$B$6:$F$16,5,FALSE),0),IFERROR(VLOOKUP($E245,'① 식재료 단가'!$B$6:$G$123,6,FALSE),0))))</f>
      </c>
      <c r="K245" s="75">
        <f>IF($D245="메뉴",ROUND($G245*$J245,1),IF($I245&gt;0,ROUND($G245/$I245*$J245,1),0))</f>
      </c>
      <c r="L245" s="64" t="s">
        <v>340</v>
      </c>
    </row>
    <row r="246" spans="1:12" x14ac:dyDescent="0.25">
      <c r="A246" s="77" t="s">
        <v>79</v>
      </c>
      <c r="B246" s="36" t="s">
        <v>138</v>
      </c>
      <c r="C246" s="63">
        <v>3</v>
      </c>
      <c r="D246" s="78" t="s">
        <v>204</v>
      </c>
      <c r="E246" s="49" t="s">
        <v>341</v>
      </c>
      <c r="F246" s="77" t="s">
        <v>342</v>
      </c>
      <c r="G246" s="72">
        <v>50</v>
      </c>
      <c r="H246" s="63" t="s">
        <v>207</v>
      </c>
      <c r="I246" s="73">
        <v>1</v>
      </c>
      <c r="J246" s="74">
        <f>IF($D246="무료",0,IF($D246="메뉴",0,IF($D246="프렙",IFERROR(VLOOKUP($E246,'② 프렙 원가'!$B$6:$F$16,5,FALSE),0),IFERROR(VLOOKUP($E246,'① 식재료 단가'!$B$6:$G$123,6,FALSE),0))))</f>
      </c>
      <c r="K246" s="75">
        <f>IF($D246="메뉴",ROUND($G246*$J246,1),IF($I246&gt;0,ROUND($G246/$I246*$J246,1),0))</f>
      </c>
      <c r="L246" s="64" t="s">
        <v>337</v>
      </c>
    </row>
    <row r="247" spans="1:12" x14ac:dyDescent="0.25">
      <c r="A247" s="77" t="s">
        <v>79</v>
      </c>
      <c r="B247" s="36" t="s">
        <v>138</v>
      </c>
      <c r="C247" s="63">
        <v>4</v>
      </c>
      <c r="D247" s="78" t="s">
        <v>204</v>
      </c>
      <c r="E247" s="49" t="s">
        <v>343</v>
      </c>
      <c r="F247" s="77" t="s">
        <v>344</v>
      </c>
      <c r="G247" s="72">
        <v>5</v>
      </c>
      <c r="H247" s="63" t="s">
        <v>207</v>
      </c>
      <c r="I247" s="73">
        <v>1</v>
      </c>
      <c r="J247" s="74">
        <f>IF($D247="무료",0,IF($D247="메뉴",0,IF($D247="프렙",IFERROR(VLOOKUP($E247,'② 프렙 원가'!$B$6:$F$16,5,FALSE),0),IFERROR(VLOOKUP($E247,'① 식재료 단가'!$B$6:$G$123,6,FALSE),0))))</f>
      </c>
      <c r="K247" s="75">
        <f>IF($D247="메뉴",ROUND($G247*$J247,1),IF($I247&gt;0,ROUND($G247/$I247*$J247,1),0))</f>
      </c>
      <c r="L247" s="64" t="s">
        <v>66</v>
      </c>
    </row>
    <row r="248" spans="1:12" x14ac:dyDescent="0.25">
      <c r="A248" s="77" t="s">
        <v>79</v>
      </c>
      <c r="B248" s="36" t="s">
        <v>138</v>
      </c>
      <c r="C248" s="63">
        <v>5</v>
      </c>
      <c r="D248" s="78" t="s">
        <v>204</v>
      </c>
      <c r="E248" s="49" t="s">
        <v>327</v>
      </c>
      <c r="F248" s="77" t="s">
        <v>66</v>
      </c>
      <c r="G248" s="72">
        <v>5</v>
      </c>
      <c r="H248" s="63" t="s">
        <v>207</v>
      </c>
      <c r="I248" s="73">
        <v>1</v>
      </c>
      <c r="J248" s="74">
        <f>IF($D248="무료",0,IF($D248="메뉴",0,IF($D248="프렙",IFERROR(VLOOKUP($E248,'② 프렙 원가'!$B$6:$F$16,5,FALSE),0),IFERROR(VLOOKUP($E248,'① 식재료 단가'!$B$6:$G$123,6,FALSE),0))))</f>
      </c>
      <c r="K248" s="75">
        <f>IF($D248="메뉴",ROUND($G248*$J248,1),IF($I248&gt;0,ROUND($G248/$I248*$J248,1),0))</f>
      </c>
      <c r="L248" s="64" t="s">
        <v>66</v>
      </c>
    </row>
    <row r="249" spans="1:12" x14ac:dyDescent="0.25">
      <c r="A249" s="77" t="s">
        <v>79</v>
      </c>
      <c r="B249" s="36" t="s">
        <v>138</v>
      </c>
      <c r="C249" s="63">
        <v>6</v>
      </c>
      <c r="D249" s="78" t="s">
        <v>204</v>
      </c>
      <c r="E249" s="49" t="s">
        <v>215</v>
      </c>
      <c r="F249" s="77" t="s">
        <v>66</v>
      </c>
      <c r="G249" s="72">
        <v>50</v>
      </c>
      <c r="H249" s="63" t="s">
        <v>207</v>
      </c>
      <c r="I249" s="73">
        <v>1</v>
      </c>
      <c r="J249" s="74">
        <f>IF($D249="무료",0,IF($D249="메뉴",0,IF($D249="프렙",IFERROR(VLOOKUP($E249,'② 프렙 원가'!$B$6:$F$16,5,FALSE),0),IFERROR(VLOOKUP($E249,'① 식재료 단가'!$B$6:$G$123,6,FALSE),0))))</f>
      </c>
      <c r="K249" s="75">
        <f>IF($D249="메뉴",ROUND($G249*$J249,1),IF($I249&gt;0,ROUND($G249/$I249*$J249,1),0))</f>
      </c>
      <c r="L249" s="64" t="s">
        <v>340</v>
      </c>
    </row>
    <row r="250" spans="1:12" x14ac:dyDescent="0.25">
      <c r="A250" s="77" t="s">
        <v>79</v>
      </c>
      <c r="B250" s="36" t="s">
        <v>138</v>
      </c>
      <c r="C250" s="63">
        <v>7</v>
      </c>
      <c r="D250" s="78" t="s">
        <v>204</v>
      </c>
      <c r="E250" s="49" t="s">
        <v>231</v>
      </c>
      <c r="F250" s="77" t="s">
        <v>66</v>
      </c>
      <c r="G250" s="72">
        <v>20</v>
      </c>
      <c r="H250" s="63" t="s">
        <v>207</v>
      </c>
      <c r="I250" s="73">
        <v>1</v>
      </c>
      <c r="J250" s="74">
        <f>IF($D250="무료",0,IF($D250="메뉴",0,IF($D250="프렙",IFERROR(VLOOKUP($E250,'② 프렙 원가'!$B$6:$F$16,5,FALSE),0),IFERROR(VLOOKUP($E250,'① 식재료 단가'!$B$6:$G$123,6,FALSE),0))))</f>
      </c>
      <c r="K250" s="75">
        <f>IF($D250="메뉴",ROUND($G250*$J250,1),IF($I250&gt;0,ROUND($G250/$I250*$J250,1),0))</f>
      </c>
      <c r="L250" s="64" t="s">
        <v>66</v>
      </c>
    </row>
    <row r="251" spans="1:12" x14ac:dyDescent="0.25">
      <c r="A251" s="77" t="s">
        <v>79</v>
      </c>
      <c r="B251" s="36" t="s">
        <v>138</v>
      </c>
      <c r="C251" s="63">
        <v>8</v>
      </c>
      <c r="D251" s="78" t="s">
        <v>204</v>
      </c>
      <c r="E251" s="49" t="s">
        <v>345</v>
      </c>
      <c r="F251" s="77" t="s">
        <v>66</v>
      </c>
      <c r="G251" s="72">
        <v>5</v>
      </c>
      <c r="H251" s="63" t="s">
        <v>207</v>
      </c>
      <c r="I251" s="73">
        <v>1</v>
      </c>
      <c r="J251" s="74">
        <f>IF($D251="무료",0,IF($D251="메뉴",0,IF($D251="프렙",IFERROR(VLOOKUP($E251,'② 프렙 원가'!$B$6:$F$16,5,FALSE),0),IFERROR(VLOOKUP($E251,'① 식재료 단가'!$B$6:$G$123,6,FALSE),0))))</f>
      </c>
      <c r="K251" s="75">
        <f>IF($D251="메뉴",ROUND($G251*$J251,1),IF($I251&gt;0,ROUND($G251/$I251*$J251,1),0))</f>
      </c>
      <c r="L251" s="64" t="s">
        <v>66</v>
      </c>
    </row>
    <row r="252" spans="1:12" x14ac:dyDescent="0.25">
      <c r="A252" s="77" t="s">
        <v>79</v>
      </c>
      <c r="B252" s="36" t="s">
        <v>138</v>
      </c>
      <c r="C252" s="63">
        <v>9</v>
      </c>
      <c r="D252" s="78" t="s">
        <v>204</v>
      </c>
      <c r="E252" s="49" t="s">
        <v>216</v>
      </c>
      <c r="F252" s="77" t="s">
        <v>66</v>
      </c>
      <c r="G252" s="72">
        <v>15</v>
      </c>
      <c r="H252" s="63" t="s">
        <v>207</v>
      </c>
      <c r="I252" s="73">
        <v>1</v>
      </c>
      <c r="J252" s="74">
        <f>IF($D252="무료",0,IF($D252="메뉴",0,IF($D252="프렙",IFERROR(VLOOKUP($E252,'② 프렙 원가'!$B$6:$F$16,5,FALSE),0),IFERROR(VLOOKUP($E252,'① 식재료 단가'!$B$6:$G$123,6,FALSE),0))))</f>
      </c>
      <c r="K252" s="75">
        <f>IF($D252="메뉴",ROUND($G252*$J252,1),IF($I252&gt;0,ROUND($G252/$I252*$J252,1),0))</f>
      </c>
      <c r="L252" s="64" t="s">
        <v>66</v>
      </c>
    </row>
    <row r="253" spans="1:12" x14ac:dyDescent="0.25">
      <c r="A253" s="77" t="s">
        <v>79</v>
      </c>
      <c r="B253" s="36" t="s">
        <v>138</v>
      </c>
      <c r="C253" s="63">
        <v>10</v>
      </c>
      <c r="D253" s="78" t="s">
        <v>204</v>
      </c>
      <c r="E253" s="49" t="s">
        <v>346</v>
      </c>
      <c r="F253" s="77" t="s">
        <v>66</v>
      </c>
      <c r="G253" s="72">
        <v>50</v>
      </c>
      <c r="H253" s="63" t="s">
        <v>207</v>
      </c>
      <c r="I253" s="73">
        <v>1</v>
      </c>
      <c r="J253" s="74">
        <f>IF($D253="무료",0,IF($D253="메뉴",0,IF($D253="프렙",IFERROR(VLOOKUP($E253,'② 프렙 원가'!$B$6:$F$16,5,FALSE),0),IFERROR(VLOOKUP($E253,'① 식재료 단가'!$B$6:$G$123,6,FALSE),0))))</f>
      </c>
      <c r="K253" s="75">
        <f>IF($D253="메뉴",ROUND($G253*$J253,1),IF($I253&gt;0,ROUND($G253/$I253*$J253,1),0))</f>
      </c>
      <c r="L253" s="64" t="s">
        <v>332</v>
      </c>
    </row>
    <row r="254" spans="1:12" x14ac:dyDescent="0.25">
      <c r="A254" s="77" t="s">
        <v>79</v>
      </c>
      <c r="B254" s="36" t="s">
        <v>138</v>
      </c>
      <c r="C254" s="63">
        <v>11</v>
      </c>
      <c r="D254" s="78" t="s">
        <v>204</v>
      </c>
      <c r="E254" s="49" t="s">
        <v>334</v>
      </c>
      <c r="F254" s="77" t="s">
        <v>66</v>
      </c>
      <c r="G254" s="72">
        <v>10</v>
      </c>
      <c r="H254" s="63" t="s">
        <v>207</v>
      </c>
      <c r="I254" s="73">
        <v>1</v>
      </c>
      <c r="J254" s="74">
        <f>IF($D254="무료",0,IF($D254="메뉴",0,IF($D254="프렙",IFERROR(VLOOKUP($E254,'② 프렙 원가'!$B$6:$F$16,5,FALSE),0),IFERROR(VLOOKUP($E254,'① 식재료 단가'!$B$6:$G$123,6,FALSE),0))))</f>
      </c>
      <c r="K254" s="75">
        <f>IF($D254="메뉴",ROUND($G254*$J254,1),IF($I254&gt;0,ROUND($G254/$I254*$J254,1),0))</f>
      </c>
      <c r="L254" s="64" t="s">
        <v>332</v>
      </c>
    </row>
    <row r="255" spans="1:12" x14ac:dyDescent="0.25">
      <c r="A255" s="70" t="s">
        <v>79</v>
      </c>
      <c r="B255" s="31" t="s">
        <v>139</v>
      </c>
      <c r="C255" s="53">
        <v>1</v>
      </c>
      <c r="D255" s="71" t="s">
        <v>204</v>
      </c>
      <c r="E255" s="44" t="s">
        <v>338</v>
      </c>
      <c r="F255" s="70" t="s">
        <v>339</v>
      </c>
      <c r="G255" s="72">
        <v>250</v>
      </c>
      <c r="H255" s="53" t="s">
        <v>207</v>
      </c>
      <c r="I255" s="73">
        <v>1</v>
      </c>
      <c r="J255" s="74">
        <f>IF($D255="무료",0,IF($D255="메뉴",0,IF($D255="프렙",IFERROR(VLOOKUP($E255,'② 프렙 원가'!$B$6:$F$16,5,FALSE),0),IFERROR(VLOOKUP($E255,'① 식재료 단가'!$B$6:$G$123,6,FALSE),0))))</f>
      </c>
      <c r="K255" s="75">
        <f>IF($D255="메뉴",ROUND($G255*$J255,1),IF($I255&gt;0,ROUND($G255/$I255*$J255,1),0))</f>
      </c>
      <c r="L255" s="54" t="s">
        <v>347</v>
      </c>
    </row>
    <row r="256" spans="1:12" x14ac:dyDescent="0.25">
      <c r="A256" s="70" t="s">
        <v>79</v>
      </c>
      <c r="B256" s="31" t="s">
        <v>139</v>
      </c>
      <c r="C256" s="53">
        <v>2</v>
      </c>
      <c r="D256" s="71" t="s">
        <v>204</v>
      </c>
      <c r="E256" s="44" t="s">
        <v>215</v>
      </c>
      <c r="F256" s="70" t="s">
        <v>66</v>
      </c>
      <c r="G256" s="72">
        <v>20</v>
      </c>
      <c r="H256" s="53" t="s">
        <v>207</v>
      </c>
      <c r="I256" s="73">
        <v>1</v>
      </c>
      <c r="J256" s="74">
        <f>IF($D256="무료",0,IF($D256="메뉴",0,IF($D256="프렙",IFERROR(VLOOKUP($E256,'② 프렙 원가'!$B$6:$F$16,5,FALSE),0),IFERROR(VLOOKUP($E256,'① 식재료 단가'!$B$6:$G$123,6,FALSE),0))))</f>
      </c>
      <c r="K256" s="75">
        <f>IF($D256="메뉴",ROUND($G256*$J256,1),IF($I256&gt;0,ROUND($G256/$I256*$J256,1),0))</f>
      </c>
      <c r="L256" s="54" t="s">
        <v>261</v>
      </c>
    </row>
    <row r="257" spans="1:12" x14ac:dyDescent="0.25">
      <c r="A257" s="70" t="s">
        <v>79</v>
      </c>
      <c r="B257" s="31" t="s">
        <v>139</v>
      </c>
      <c r="C257" s="53">
        <v>3</v>
      </c>
      <c r="D257" s="71" t="s">
        <v>204</v>
      </c>
      <c r="E257" s="44" t="s">
        <v>231</v>
      </c>
      <c r="F257" s="70" t="s">
        <v>66</v>
      </c>
      <c r="G257" s="72">
        <v>30</v>
      </c>
      <c r="H257" s="53" t="s">
        <v>207</v>
      </c>
      <c r="I257" s="73">
        <v>1</v>
      </c>
      <c r="J257" s="74">
        <f>IF($D257="무료",0,IF($D257="메뉴",0,IF($D257="프렙",IFERROR(VLOOKUP($E257,'② 프렙 원가'!$B$6:$F$16,5,FALSE),0),IFERROR(VLOOKUP($E257,'① 식재료 단가'!$B$6:$G$123,6,FALSE),0))))</f>
      </c>
      <c r="K257" s="75">
        <f>IF($D257="메뉴",ROUND($G257*$J257,1),IF($I257&gt;0,ROUND($G257/$I257*$J257,1),0))</f>
      </c>
      <c r="L257" s="54" t="s">
        <v>318</v>
      </c>
    </row>
    <row r="258" spans="1:12" x14ac:dyDescent="0.25">
      <c r="A258" s="70" t="s">
        <v>79</v>
      </c>
      <c r="B258" s="31" t="s">
        <v>139</v>
      </c>
      <c r="C258" s="53">
        <v>4</v>
      </c>
      <c r="D258" s="71" t="s">
        <v>204</v>
      </c>
      <c r="E258" s="44" t="s">
        <v>345</v>
      </c>
      <c r="F258" s="70" t="s">
        <v>66</v>
      </c>
      <c r="G258" s="72">
        <v>5</v>
      </c>
      <c r="H258" s="53" t="s">
        <v>207</v>
      </c>
      <c r="I258" s="73">
        <v>1</v>
      </c>
      <c r="J258" s="74">
        <f>IF($D258="무료",0,IF($D258="메뉴",0,IF($D258="프렙",IFERROR(VLOOKUP($E258,'② 프렙 원가'!$B$6:$F$16,5,FALSE),0),IFERROR(VLOOKUP($E258,'① 식재료 단가'!$B$6:$G$123,6,FALSE),0))))</f>
      </c>
      <c r="K258" s="75">
        <f>IF($D258="메뉴",ROUND($G258*$J258,1),IF($I258&gt;0,ROUND($G258/$I258*$J258,1),0))</f>
      </c>
      <c r="L258" s="54" t="s">
        <v>66</v>
      </c>
    </row>
    <row r="259" spans="1:12" x14ac:dyDescent="0.25">
      <c r="A259" s="70" t="s">
        <v>79</v>
      </c>
      <c r="B259" s="31" t="s">
        <v>139</v>
      </c>
      <c r="C259" s="53">
        <v>5</v>
      </c>
      <c r="D259" s="71" t="s">
        <v>204</v>
      </c>
      <c r="E259" s="44" t="s">
        <v>216</v>
      </c>
      <c r="F259" s="70" t="s">
        <v>66</v>
      </c>
      <c r="G259" s="72">
        <v>10</v>
      </c>
      <c r="H259" s="53" t="s">
        <v>207</v>
      </c>
      <c r="I259" s="73">
        <v>1</v>
      </c>
      <c r="J259" s="74">
        <f>IF($D259="무료",0,IF($D259="메뉴",0,IF($D259="프렙",IFERROR(VLOOKUP($E259,'② 프렙 원가'!$B$6:$F$16,5,FALSE),0),IFERROR(VLOOKUP($E259,'① 식재료 단가'!$B$6:$G$123,6,FALSE),0))))</f>
      </c>
      <c r="K259" s="75">
        <f>IF($D259="메뉴",ROUND($G259*$J259,1),IF($I259&gt;0,ROUND($G259/$I259*$J259,1),0))</f>
      </c>
      <c r="L259" s="54" t="s">
        <v>66</v>
      </c>
    </row>
    <row r="260" spans="1:12" x14ac:dyDescent="0.25">
      <c r="A260" s="70" t="s">
        <v>79</v>
      </c>
      <c r="B260" s="31" t="s">
        <v>139</v>
      </c>
      <c r="C260" s="53">
        <v>6</v>
      </c>
      <c r="D260" s="76" t="s">
        <v>209</v>
      </c>
      <c r="E260" s="44" t="s">
        <v>348</v>
      </c>
      <c r="F260" s="70" t="s">
        <v>349</v>
      </c>
      <c r="G260" s="72">
        <v>30</v>
      </c>
      <c r="H260" s="53" t="s">
        <v>207</v>
      </c>
      <c r="I260" s="73">
        <v>1</v>
      </c>
      <c r="J260" s="74">
        <f>IF($D260="무료",0,IF($D260="메뉴",0,IF($D260="프렙",IFERROR(VLOOKUP($E260,'② 프렙 원가'!$B$6:$F$16,5,FALSE),0),IFERROR(VLOOKUP($E260,'① 식재료 단가'!$B$6:$G$123,6,FALSE),0))))</f>
      </c>
      <c r="K260" s="75">
        <f>IF($D260="메뉴",ROUND($G260*$J260,1),IF($I260&gt;0,ROUND($G260/$I260*$J260,1),0))</f>
      </c>
      <c r="L260" s="54" t="s">
        <v>261</v>
      </c>
    </row>
    <row r="261" spans="1:12" x14ac:dyDescent="0.25">
      <c r="A261" s="77" t="s">
        <v>79</v>
      </c>
      <c r="B261" s="36" t="s">
        <v>140</v>
      </c>
      <c r="C261" s="63">
        <v>1</v>
      </c>
      <c r="D261" s="78" t="s">
        <v>204</v>
      </c>
      <c r="E261" s="49" t="s">
        <v>338</v>
      </c>
      <c r="F261" s="77" t="s">
        <v>339</v>
      </c>
      <c r="G261" s="72">
        <v>300</v>
      </c>
      <c r="H261" s="63" t="s">
        <v>207</v>
      </c>
      <c r="I261" s="73">
        <v>1</v>
      </c>
      <c r="J261" s="74">
        <f>IF($D261="무료",0,IF($D261="메뉴",0,IF($D261="프렙",IFERROR(VLOOKUP($E261,'② 프렙 원가'!$B$6:$F$16,5,FALSE),0),IFERROR(VLOOKUP($E261,'① 식재료 단가'!$B$6:$G$123,6,FALSE),0))))</f>
      </c>
      <c r="K261" s="75">
        <f>IF($D261="메뉴",ROUND($G261*$J261,1),IF($I261&gt;0,ROUND($G261/$I261*$J261,1),0))</f>
      </c>
      <c r="L261" s="64" t="s">
        <v>350</v>
      </c>
    </row>
    <row r="262" spans="1:12" x14ac:dyDescent="0.25">
      <c r="A262" s="77" t="s">
        <v>79</v>
      </c>
      <c r="B262" s="36" t="s">
        <v>140</v>
      </c>
      <c r="C262" s="63">
        <v>2</v>
      </c>
      <c r="D262" s="78" t="s">
        <v>204</v>
      </c>
      <c r="E262" s="49" t="s">
        <v>327</v>
      </c>
      <c r="F262" s="77" t="s">
        <v>66</v>
      </c>
      <c r="G262" s="72">
        <v>5</v>
      </c>
      <c r="H262" s="63" t="s">
        <v>207</v>
      </c>
      <c r="I262" s="73">
        <v>1</v>
      </c>
      <c r="J262" s="74">
        <f>IF($D262="무료",0,IF($D262="메뉴",0,IF($D262="프렙",IFERROR(VLOOKUP($E262,'② 프렙 원가'!$B$6:$F$16,5,FALSE),0),IFERROR(VLOOKUP($E262,'① 식재료 단가'!$B$6:$G$123,6,FALSE),0))))</f>
      </c>
      <c r="K262" s="75">
        <f>IF($D262="메뉴",ROUND($G262*$J262,1),IF($I262&gt;0,ROUND($G262/$I262*$J262,1),0))</f>
      </c>
      <c r="L262" s="64" t="s">
        <v>66</v>
      </c>
    </row>
    <row r="263" spans="1:12" x14ac:dyDescent="0.25">
      <c r="A263" s="77" t="s">
        <v>79</v>
      </c>
      <c r="B263" s="36" t="s">
        <v>140</v>
      </c>
      <c r="C263" s="63">
        <v>3</v>
      </c>
      <c r="D263" s="78" t="s">
        <v>204</v>
      </c>
      <c r="E263" s="49" t="s">
        <v>343</v>
      </c>
      <c r="F263" s="77" t="s">
        <v>344</v>
      </c>
      <c r="G263" s="72">
        <v>5</v>
      </c>
      <c r="H263" s="63" t="s">
        <v>207</v>
      </c>
      <c r="I263" s="73">
        <v>1</v>
      </c>
      <c r="J263" s="74">
        <f>IF($D263="무료",0,IF($D263="메뉴",0,IF($D263="프렙",IFERROR(VLOOKUP($E263,'② 프렙 원가'!$B$6:$F$16,5,FALSE),0),IFERROR(VLOOKUP($E263,'① 식재료 단가'!$B$6:$G$123,6,FALSE),0))))</f>
      </c>
      <c r="K263" s="75">
        <f>IF($D263="메뉴",ROUND($G263*$J263,1),IF($I263&gt;0,ROUND($G263/$I263*$J263,1),0))</f>
      </c>
      <c r="L263" s="64" t="s">
        <v>66</v>
      </c>
    </row>
    <row r="264" spans="1:12" x14ac:dyDescent="0.25">
      <c r="A264" s="77" t="s">
        <v>79</v>
      </c>
      <c r="B264" s="36" t="s">
        <v>140</v>
      </c>
      <c r="C264" s="63">
        <v>4</v>
      </c>
      <c r="D264" s="78" t="s">
        <v>204</v>
      </c>
      <c r="E264" s="49" t="s">
        <v>246</v>
      </c>
      <c r="F264" s="77" t="s">
        <v>247</v>
      </c>
      <c r="G264" s="72">
        <v>10</v>
      </c>
      <c r="H264" s="63" t="s">
        <v>207</v>
      </c>
      <c r="I264" s="73">
        <v>1</v>
      </c>
      <c r="J264" s="74">
        <f>IF($D264="무료",0,IF($D264="메뉴",0,IF($D264="프렙",IFERROR(VLOOKUP($E264,'② 프렙 원가'!$B$6:$F$16,5,FALSE),0),IFERROR(VLOOKUP($E264,'① 식재료 단가'!$B$6:$G$123,6,FALSE),0))))</f>
      </c>
      <c r="K264" s="75">
        <f>IF($D264="메뉴",ROUND($G264*$J264,1),IF($I264&gt;0,ROUND($G264/$I264*$J264,1),0))</f>
      </c>
      <c r="L264" s="64" t="s">
        <v>66</v>
      </c>
    </row>
    <row r="265" spans="1:12" x14ac:dyDescent="0.25">
      <c r="A265" s="77" t="s">
        <v>79</v>
      </c>
      <c r="B265" s="36" t="s">
        <v>140</v>
      </c>
      <c r="C265" s="63">
        <v>5</v>
      </c>
      <c r="D265" s="78" t="s">
        <v>204</v>
      </c>
      <c r="E265" s="49" t="s">
        <v>216</v>
      </c>
      <c r="F265" s="77" t="s">
        <v>66</v>
      </c>
      <c r="G265" s="72">
        <v>5</v>
      </c>
      <c r="H265" s="63" t="s">
        <v>207</v>
      </c>
      <c r="I265" s="73">
        <v>1</v>
      </c>
      <c r="J265" s="74">
        <f>IF($D265="무료",0,IF($D265="메뉴",0,IF($D265="프렙",IFERROR(VLOOKUP($E265,'② 프렙 원가'!$B$6:$F$16,5,FALSE),0),IFERROR(VLOOKUP($E265,'① 식재료 단가'!$B$6:$G$123,6,FALSE),0))))</f>
      </c>
      <c r="K265" s="75">
        <f>IF($D265="메뉴",ROUND($G265*$J265,1),IF($I265&gt;0,ROUND($G265/$I265*$J265,1),0))</f>
      </c>
      <c r="L265" s="64" t="s">
        <v>66</v>
      </c>
    </row>
    <row r="266" spans="1:12" x14ac:dyDescent="0.25">
      <c r="A266" s="77" t="s">
        <v>79</v>
      </c>
      <c r="B266" s="36" t="s">
        <v>140</v>
      </c>
      <c r="C266" s="63">
        <v>6</v>
      </c>
      <c r="D266" s="78" t="s">
        <v>204</v>
      </c>
      <c r="E266" s="49" t="s">
        <v>238</v>
      </c>
      <c r="F266" s="77" t="s">
        <v>66</v>
      </c>
      <c r="G266" s="72">
        <v>5</v>
      </c>
      <c r="H266" s="63" t="s">
        <v>207</v>
      </c>
      <c r="I266" s="73">
        <v>1</v>
      </c>
      <c r="J266" s="74">
        <f>IF($D266="무료",0,IF($D266="메뉴",0,IF($D266="프렙",IFERROR(VLOOKUP($E266,'② 프렙 원가'!$B$6:$F$16,5,FALSE),0),IFERROR(VLOOKUP($E266,'① 식재료 단가'!$B$6:$G$123,6,FALSE),0))))</f>
      </c>
      <c r="K266" s="75">
        <f>IF($D266="메뉴",ROUND($G266*$J266,1),IF($I266&gt;0,ROUND($G266/$I266*$J266,1),0))</f>
      </c>
      <c r="L266" s="64" t="s">
        <v>66</v>
      </c>
    </row>
    <row r="267" spans="1:12" x14ac:dyDescent="0.25">
      <c r="A267" s="77" t="s">
        <v>79</v>
      </c>
      <c r="B267" s="36" t="s">
        <v>140</v>
      </c>
      <c r="C267" s="63">
        <v>7</v>
      </c>
      <c r="D267" s="79" t="s">
        <v>209</v>
      </c>
      <c r="E267" s="49" t="s">
        <v>260</v>
      </c>
      <c r="F267" s="77" t="s">
        <v>66</v>
      </c>
      <c r="G267" s="72">
        <v>10</v>
      </c>
      <c r="H267" s="63" t="s">
        <v>207</v>
      </c>
      <c r="I267" s="73">
        <v>1</v>
      </c>
      <c r="J267" s="74">
        <f>IF($D267="무료",0,IF($D267="메뉴",0,IF($D267="프렙",IFERROR(VLOOKUP($E267,'② 프렙 원가'!$B$6:$F$16,5,FALSE),0),IFERROR(VLOOKUP($E267,'① 식재료 단가'!$B$6:$G$123,6,FALSE),0))))</f>
      </c>
      <c r="K267" s="75">
        <f>IF($D267="메뉴",ROUND($G267*$J267,1),IF($I267&gt;0,ROUND($G267/$I267*$J267,1),0))</f>
      </c>
      <c r="L267" s="64" t="s">
        <v>351</v>
      </c>
    </row>
    <row r="268" spans="1:12" x14ac:dyDescent="0.25">
      <c r="A268" s="77" t="s">
        <v>79</v>
      </c>
      <c r="B268" s="36" t="s">
        <v>140</v>
      </c>
      <c r="C268" s="63">
        <v>8</v>
      </c>
      <c r="D268" s="78" t="s">
        <v>204</v>
      </c>
      <c r="E268" s="49" t="s">
        <v>243</v>
      </c>
      <c r="F268" s="77" t="s">
        <v>66</v>
      </c>
      <c r="G268" s="72">
        <v>30</v>
      </c>
      <c r="H268" s="63" t="s">
        <v>207</v>
      </c>
      <c r="I268" s="73">
        <v>1</v>
      </c>
      <c r="J268" s="74">
        <f>IF($D268="무료",0,IF($D268="메뉴",0,IF($D268="프렙",IFERROR(VLOOKUP($E268,'② 프렙 원가'!$B$6:$F$16,5,FALSE),0),IFERROR(VLOOKUP($E268,'① 식재료 단가'!$B$6:$G$123,6,FALSE),0))))</f>
      </c>
      <c r="K268" s="75">
        <f>IF($D268="메뉴",ROUND($G268*$J268,1),IF($I268&gt;0,ROUND($G268/$I268*$J268,1),0))</f>
      </c>
      <c r="L268" s="64" t="s">
        <v>332</v>
      </c>
    </row>
    <row r="269" spans="1:12" x14ac:dyDescent="0.25">
      <c r="A269" s="77" t="s">
        <v>79</v>
      </c>
      <c r="B269" s="36" t="s">
        <v>140</v>
      </c>
      <c r="C269" s="63">
        <v>9</v>
      </c>
      <c r="D269" s="78" t="s">
        <v>204</v>
      </c>
      <c r="E269" s="49" t="s">
        <v>352</v>
      </c>
      <c r="F269" s="77" t="s">
        <v>66</v>
      </c>
      <c r="G269" s="72">
        <v>30</v>
      </c>
      <c r="H269" s="63" t="s">
        <v>207</v>
      </c>
      <c r="I269" s="73">
        <v>1</v>
      </c>
      <c r="J269" s="74">
        <f>IF($D269="무료",0,IF($D269="메뉴",0,IF($D269="프렙",IFERROR(VLOOKUP($E269,'② 프렙 원가'!$B$6:$F$16,5,FALSE),0),IFERROR(VLOOKUP($E269,'① 식재료 단가'!$B$6:$G$123,6,FALSE),0))))</f>
      </c>
      <c r="K269" s="75">
        <f>IF($D269="메뉴",ROUND($G269*$J269,1),IF($I269&gt;0,ROUND($G269/$I269*$J269,1),0))</f>
      </c>
      <c r="L269" s="64" t="s">
        <v>66</v>
      </c>
    </row>
    <row r="270" spans="1:12" x14ac:dyDescent="0.25">
      <c r="A270" s="70" t="s">
        <v>79</v>
      </c>
      <c r="B270" s="31" t="s">
        <v>141</v>
      </c>
      <c r="C270" s="53">
        <v>1</v>
      </c>
      <c r="D270" s="71" t="s">
        <v>204</v>
      </c>
      <c r="E270" s="44" t="s">
        <v>353</v>
      </c>
      <c r="F270" s="70" t="s">
        <v>354</v>
      </c>
      <c r="G270" s="72">
        <v>300</v>
      </c>
      <c r="H270" s="53" t="s">
        <v>207</v>
      </c>
      <c r="I270" s="73">
        <v>1</v>
      </c>
      <c r="J270" s="74">
        <f>IF($D270="무료",0,IF($D270="메뉴",0,IF($D270="프렙",IFERROR(VLOOKUP($E270,'② 프렙 원가'!$B$6:$F$16,5,FALSE),0),IFERROR(VLOOKUP($E270,'① 식재료 단가'!$B$6:$G$123,6,FALSE),0))))</f>
      </c>
      <c r="K270" s="75">
        <f>IF($D270="메뉴",ROUND($G270*$J270,1),IF($I270&gt;0,ROUND($G270/$I270*$J270,1),0))</f>
      </c>
      <c r="L270" s="54" t="s">
        <v>355</v>
      </c>
    </row>
    <row r="271" spans="1:12" x14ac:dyDescent="0.25">
      <c r="A271" s="70" t="s">
        <v>79</v>
      </c>
      <c r="B271" s="31" t="s">
        <v>141</v>
      </c>
      <c r="C271" s="53">
        <v>2</v>
      </c>
      <c r="D271" s="71" t="s">
        <v>204</v>
      </c>
      <c r="E271" s="44" t="s">
        <v>356</v>
      </c>
      <c r="F271" s="70" t="s">
        <v>66</v>
      </c>
      <c r="G271" s="72">
        <v>10</v>
      </c>
      <c r="H271" s="53" t="s">
        <v>207</v>
      </c>
      <c r="I271" s="73">
        <v>1</v>
      </c>
      <c r="J271" s="74">
        <f>IF($D271="무료",0,IF($D271="메뉴",0,IF($D271="프렙",IFERROR(VLOOKUP($E271,'② 프렙 원가'!$B$6:$F$16,5,FALSE),0),IFERROR(VLOOKUP($E271,'① 식재료 단가'!$B$6:$G$123,6,FALSE),0))))</f>
      </c>
      <c r="K271" s="75">
        <f>IF($D271="메뉴",ROUND($G271*$J271,1),IF($I271&gt;0,ROUND($G271/$I271*$J271,1),0))</f>
      </c>
      <c r="L271" s="54" t="s">
        <v>351</v>
      </c>
    </row>
    <row r="272" spans="1:12" x14ac:dyDescent="0.25">
      <c r="A272" s="70" t="s">
        <v>79</v>
      </c>
      <c r="B272" s="31" t="s">
        <v>141</v>
      </c>
      <c r="C272" s="53">
        <v>3</v>
      </c>
      <c r="D272" s="71" t="s">
        <v>204</v>
      </c>
      <c r="E272" s="44" t="s">
        <v>327</v>
      </c>
      <c r="F272" s="70" t="s">
        <v>66</v>
      </c>
      <c r="G272" s="72">
        <v>5</v>
      </c>
      <c r="H272" s="53" t="s">
        <v>207</v>
      </c>
      <c r="I272" s="73">
        <v>1</v>
      </c>
      <c r="J272" s="74">
        <f>IF($D272="무료",0,IF($D272="메뉴",0,IF($D272="프렙",IFERROR(VLOOKUP($E272,'② 프렙 원가'!$B$6:$F$16,5,FALSE),0),IFERROR(VLOOKUP($E272,'① 식재료 단가'!$B$6:$G$123,6,FALSE),0))))</f>
      </c>
      <c r="K272" s="75">
        <f>IF($D272="메뉴",ROUND($G272*$J272,1),IF($I272&gt;0,ROUND($G272/$I272*$J272,1),0))</f>
      </c>
      <c r="L272" s="54" t="s">
        <v>66</v>
      </c>
    </row>
    <row r="273" spans="1:12" x14ac:dyDescent="0.25">
      <c r="A273" s="70" t="s">
        <v>79</v>
      </c>
      <c r="B273" s="31" t="s">
        <v>141</v>
      </c>
      <c r="C273" s="53">
        <v>4</v>
      </c>
      <c r="D273" s="71" t="s">
        <v>204</v>
      </c>
      <c r="E273" s="44" t="s">
        <v>343</v>
      </c>
      <c r="F273" s="70" t="s">
        <v>344</v>
      </c>
      <c r="G273" s="72">
        <v>5</v>
      </c>
      <c r="H273" s="53" t="s">
        <v>207</v>
      </c>
      <c r="I273" s="73">
        <v>1</v>
      </c>
      <c r="J273" s="74">
        <f>IF($D273="무료",0,IF($D273="메뉴",0,IF($D273="프렙",IFERROR(VLOOKUP($E273,'② 프렙 원가'!$B$6:$F$16,5,FALSE),0),IFERROR(VLOOKUP($E273,'① 식재료 단가'!$B$6:$G$123,6,FALSE),0))))</f>
      </c>
      <c r="K273" s="75">
        <f>IF($D273="메뉴",ROUND($G273*$J273,1),IF($I273&gt;0,ROUND($G273/$I273*$J273,1),0))</f>
      </c>
      <c r="L273" s="54" t="s">
        <v>66</v>
      </c>
    </row>
    <row r="274" spans="1:12" x14ac:dyDescent="0.25">
      <c r="A274" s="70" t="s">
        <v>79</v>
      </c>
      <c r="B274" s="31" t="s">
        <v>141</v>
      </c>
      <c r="C274" s="53">
        <v>5</v>
      </c>
      <c r="D274" s="71" t="s">
        <v>204</v>
      </c>
      <c r="E274" s="44" t="s">
        <v>246</v>
      </c>
      <c r="F274" s="70" t="s">
        <v>247</v>
      </c>
      <c r="G274" s="72">
        <v>10</v>
      </c>
      <c r="H274" s="53" t="s">
        <v>207</v>
      </c>
      <c r="I274" s="73">
        <v>1</v>
      </c>
      <c r="J274" s="74">
        <f>IF($D274="무료",0,IF($D274="메뉴",0,IF($D274="프렙",IFERROR(VLOOKUP($E274,'② 프렙 원가'!$B$6:$F$16,5,FALSE),0),IFERROR(VLOOKUP($E274,'① 식재료 단가'!$B$6:$G$123,6,FALSE),0))))</f>
      </c>
      <c r="K274" s="75">
        <f>IF($D274="메뉴",ROUND($G274*$J274,1),IF($I274&gt;0,ROUND($G274/$I274*$J274,1),0))</f>
      </c>
      <c r="L274" s="54" t="s">
        <v>66</v>
      </c>
    </row>
    <row r="275" spans="1:12" x14ac:dyDescent="0.25">
      <c r="A275" s="70" t="s">
        <v>79</v>
      </c>
      <c r="B275" s="31" t="s">
        <v>141</v>
      </c>
      <c r="C275" s="53">
        <v>6</v>
      </c>
      <c r="D275" s="71" t="s">
        <v>204</v>
      </c>
      <c r="E275" s="44" t="s">
        <v>216</v>
      </c>
      <c r="F275" s="70" t="s">
        <v>66</v>
      </c>
      <c r="G275" s="72">
        <v>5</v>
      </c>
      <c r="H275" s="53" t="s">
        <v>207</v>
      </c>
      <c r="I275" s="73">
        <v>1</v>
      </c>
      <c r="J275" s="74">
        <f>IF($D275="무료",0,IF($D275="메뉴",0,IF($D275="프렙",IFERROR(VLOOKUP($E275,'② 프렙 원가'!$B$6:$F$16,5,FALSE),0),IFERROR(VLOOKUP($E275,'① 식재료 단가'!$B$6:$G$123,6,FALSE),0))))</f>
      </c>
      <c r="K275" s="75">
        <f>IF($D275="메뉴",ROUND($G275*$J275,1),IF($I275&gt;0,ROUND($G275/$I275*$J275,1),0))</f>
      </c>
      <c r="L275" s="54" t="s">
        <v>66</v>
      </c>
    </row>
    <row r="276" spans="1:12" x14ac:dyDescent="0.25">
      <c r="A276" s="70" t="s">
        <v>79</v>
      </c>
      <c r="B276" s="31" t="s">
        <v>141</v>
      </c>
      <c r="C276" s="53">
        <v>7</v>
      </c>
      <c r="D276" s="71" t="s">
        <v>204</v>
      </c>
      <c r="E276" s="44" t="s">
        <v>238</v>
      </c>
      <c r="F276" s="70" t="s">
        <v>66</v>
      </c>
      <c r="G276" s="72">
        <v>5</v>
      </c>
      <c r="H276" s="53" t="s">
        <v>207</v>
      </c>
      <c r="I276" s="73">
        <v>1</v>
      </c>
      <c r="J276" s="74">
        <f>IF($D276="무료",0,IF($D276="메뉴",0,IF($D276="프렙",IFERROR(VLOOKUP($E276,'② 프렙 원가'!$B$6:$F$16,5,FALSE),0),IFERROR(VLOOKUP($E276,'① 식재료 단가'!$B$6:$G$123,6,FALSE),0))))</f>
      </c>
      <c r="K276" s="75">
        <f>IF($D276="메뉴",ROUND($G276*$J276,1),IF($I276&gt;0,ROUND($G276/$I276*$J276,1),0))</f>
      </c>
      <c r="L276" s="54" t="s">
        <v>66</v>
      </c>
    </row>
    <row r="277" spans="1:12" x14ac:dyDescent="0.25">
      <c r="A277" s="70" t="s">
        <v>79</v>
      </c>
      <c r="B277" s="31" t="s">
        <v>141</v>
      </c>
      <c r="C277" s="53">
        <v>8</v>
      </c>
      <c r="D277" s="71" t="s">
        <v>204</v>
      </c>
      <c r="E277" s="44" t="s">
        <v>243</v>
      </c>
      <c r="F277" s="70" t="s">
        <v>66</v>
      </c>
      <c r="G277" s="72">
        <v>30</v>
      </c>
      <c r="H277" s="53" t="s">
        <v>207</v>
      </c>
      <c r="I277" s="73">
        <v>1</v>
      </c>
      <c r="J277" s="74">
        <f>IF($D277="무료",0,IF($D277="메뉴",0,IF($D277="프렙",IFERROR(VLOOKUP($E277,'② 프렙 원가'!$B$6:$F$16,5,FALSE),0),IFERROR(VLOOKUP($E277,'① 식재료 단가'!$B$6:$G$123,6,FALSE),0))))</f>
      </c>
      <c r="K277" s="75">
        <f>IF($D277="메뉴",ROUND($G277*$J277,1),IF($I277&gt;0,ROUND($G277/$I277*$J277,1),0))</f>
      </c>
      <c r="L277" s="54" t="s">
        <v>332</v>
      </c>
    </row>
    <row r="278" spans="1:12" x14ac:dyDescent="0.25">
      <c r="A278" s="77" t="s">
        <v>79</v>
      </c>
      <c r="B278" s="36" t="s">
        <v>142</v>
      </c>
      <c r="C278" s="63">
        <v>1</v>
      </c>
      <c r="D278" s="78" t="s">
        <v>204</v>
      </c>
      <c r="E278" s="49" t="s">
        <v>338</v>
      </c>
      <c r="F278" s="77" t="s">
        <v>339</v>
      </c>
      <c r="G278" s="72">
        <v>250</v>
      </c>
      <c r="H278" s="63" t="s">
        <v>207</v>
      </c>
      <c r="I278" s="73">
        <v>1</v>
      </c>
      <c r="J278" s="74">
        <f>IF($D278="무료",0,IF($D278="메뉴",0,IF($D278="프렙",IFERROR(VLOOKUP($E278,'② 프렙 원가'!$B$6:$F$16,5,FALSE),0),IFERROR(VLOOKUP($E278,'① 식재료 단가'!$B$6:$G$123,6,FALSE),0))))</f>
      </c>
      <c r="K278" s="75">
        <f>IF($D278="메뉴",ROUND($G278*$J278,1),IF($I278&gt;0,ROUND($G278/$I278*$J278,1),0))</f>
      </c>
      <c r="L278" s="64" t="s">
        <v>357</v>
      </c>
    </row>
    <row r="279" spans="1:12" x14ac:dyDescent="0.25">
      <c r="A279" s="77" t="s">
        <v>79</v>
      </c>
      <c r="B279" s="36" t="s">
        <v>142</v>
      </c>
      <c r="C279" s="63">
        <v>2</v>
      </c>
      <c r="D279" s="79" t="s">
        <v>209</v>
      </c>
      <c r="E279" s="49" t="s">
        <v>260</v>
      </c>
      <c r="F279" s="77" t="s">
        <v>66</v>
      </c>
      <c r="G279" s="72">
        <v>30</v>
      </c>
      <c r="H279" s="63" t="s">
        <v>207</v>
      </c>
      <c r="I279" s="73">
        <v>1</v>
      </c>
      <c r="J279" s="74">
        <f>IF($D279="무료",0,IF($D279="메뉴",0,IF($D279="프렙",IFERROR(VLOOKUP($E279,'② 프렙 원가'!$B$6:$F$16,5,FALSE),0),IFERROR(VLOOKUP($E279,'① 식재료 단가'!$B$6:$G$123,6,FALSE),0))))</f>
      </c>
      <c r="K279" s="75">
        <f>IF($D279="메뉴",ROUND($G279*$J279,1),IF($I279&gt;0,ROUND($G279/$I279*$J279,1),0))</f>
      </c>
      <c r="L279" s="64" t="s">
        <v>261</v>
      </c>
    </row>
    <row r="280" spans="1:12" x14ac:dyDescent="0.25">
      <c r="A280" s="77" t="s">
        <v>79</v>
      </c>
      <c r="B280" s="36" t="s">
        <v>142</v>
      </c>
      <c r="C280" s="63">
        <v>3</v>
      </c>
      <c r="D280" s="78" t="s">
        <v>204</v>
      </c>
      <c r="E280" s="49" t="s">
        <v>343</v>
      </c>
      <c r="F280" s="77" t="s">
        <v>344</v>
      </c>
      <c r="G280" s="72">
        <v>5</v>
      </c>
      <c r="H280" s="63" t="s">
        <v>207</v>
      </c>
      <c r="I280" s="73">
        <v>1</v>
      </c>
      <c r="J280" s="74">
        <f>IF($D280="무료",0,IF($D280="메뉴",0,IF($D280="프렙",IFERROR(VLOOKUP($E280,'② 프렙 원가'!$B$6:$F$16,5,FALSE),0),IFERROR(VLOOKUP($E280,'① 식재료 단가'!$B$6:$G$123,6,FALSE),0))))</f>
      </c>
      <c r="K280" s="75">
        <f>IF($D280="메뉴",ROUND($G280*$J280,1),IF($I280&gt;0,ROUND($G280/$I280*$J280,1),0))</f>
      </c>
      <c r="L280" s="64" t="s">
        <v>66</v>
      </c>
    </row>
    <row r="281" spans="1:12" x14ac:dyDescent="0.25">
      <c r="A281" s="77" t="s">
        <v>79</v>
      </c>
      <c r="B281" s="36" t="s">
        <v>142</v>
      </c>
      <c r="C281" s="63">
        <v>4</v>
      </c>
      <c r="D281" s="78" t="s">
        <v>204</v>
      </c>
      <c r="E281" s="49" t="s">
        <v>327</v>
      </c>
      <c r="F281" s="77" t="s">
        <v>66</v>
      </c>
      <c r="G281" s="72">
        <v>5</v>
      </c>
      <c r="H281" s="63" t="s">
        <v>207</v>
      </c>
      <c r="I281" s="73">
        <v>1</v>
      </c>
      <c r="J281" s="74">
        <f>IF($D281="무료",0,IF($D281="메뉴",0,IF($D281="프렙",IFERROR(VLOOKUP($E281,'② 프렙 원가'!$B$6:$F$16,5,FALSE),0),IFERROR(VLOOKUP($E281,'① 식재료 단가'!$B$6:$G$123,6,FALSE),0))))</f>
      </c>
      <c r="K281" s="75">
        <f>IF($D281="메뉴",ROUND($G281*$J281,1),IF($I281&gt;0,ROUND($G281/$I281*$J281,1),0))</f>
      </c>
      <c r="L281" s="64" t="s">
        <v>66</v>
      </c>
    </row>
    <row r="282" spans="1:12" x14ac:dyDescent="0.25">
      <c r="A282" s="77" t="s">
        <v>79</v>
      </c>
      <c r="B282" s="36" t="s">
        <v>142</v>
      </c>
      <c r="C282" s="63">
        <v>5</v>
      </c>
      <c r="D282" s="78" t="s">
        <v>204</v>
      </c>
      <c r="E282" s="49" t="s">
        <v>246</v>
      </c>
      <c r="F282" s="77" t="s">
        <v>247</v>
      </c>
      <c r="G282" s="72">
        <v>5</v>
      </c>
      <c r="H282" s="63" t="s">
        <v>207</v>
      </c>
      <c r="I282" s="73">
        <v>1</v>
      </c>
      <c r="J282" s="74">
        <f>IF($D282="무료",0,IF($D282="메뉴",0,IF($D282="프렙",IFERROR(VLOOKUP($E282,'② 프렙 원가'!$B$6:$F$16,5,FALSE),0),IFERROR(VLOOKUP($E282,'① 식재료 단가'!$B$6:$G$123,6,FALSE),0))))</f>
      </c>
      <c r="K282" s="75">
        <f>IF($D282="메뉴",ROUND($G282*$J282,1),IF($I282&gt;0,ROUND($G282/$I282*$J282,1),0))</f>
      </c>
      <c r="L282" s="64" t="s">
        <v>66</v>
      </c>
    </row>
    <row r="283" spans="1:12" x14ac:dyDescent="0.25">
      <c r="A283" s="77" t="s">
        <v>79</v>
      </c>
      <c r="B283" s="36" t="s">
        <v>142</v>
      </c>
      <c r="C283" s="63">
        <v>6</v>
      </c>
      <c r="D283" s="78" t="s">
        <v>204</v>
      </c>
      <c r="E283" s="49" t="s">
        <v>216</v>
      </c>
      <c r="F283" s="77" t="s">
        <v>66</v>
      </c>
      <c r="G283" s="72">
        <v>5</v>
      </c>
      <c r="H283" s="63" t="s">
        <v>207</v>
      </c>
      <c r="I283" s="73">
        <v>1</v>
      </c>
      <c r="J283" s="74">
        <f>IF($D283="무료",0,IF($D283="메뉴",0,IF($D283="프렙",IFERROR(VLOOKUP($E283,'② 프렙 원가'!$B$6:$F$16,5,FALSE),0),IFERROR(VLOOKUP($E283,'① 식재료 단가'!$B$6:$G$123,6,FALSE),0))))</f>
      </c>
      <c r="K283" s="75">
        <f>IF($D283="메뉴",ROUND($G283*$J283,1),IF($I283&gt;0,ROUND($G283/$I283*$J283,1),0))</f>
      </c>
      <c r="L283" s="64" t="s">
        <v>66</v>
      </c>
    </row>
    <row r="284" spans="1:12" x14ac:dyDescent="0.25">
      <c r="A284" s="77" t="s">
        <v>79</v>
      </c>
      <c r="B284" s="36" t="s">
        <v>142</v>
      </c>
      <c r="C284" s="63">
        <v>7</v>
      </c>
      <c r="D284" s="78" t="s">
        <v>204</v>
      </c>
      <c r="E284" s="49" t="s">
        <v>238</v>
      </c>
      <c r="F284" s="77" t="s">
        <v>66</v>
      </c>
      <c r="G284" s="72">
        <v>5</v>
      </c>
      <c r="H284" s="63" t="s">
        <v>207</v>
      </c>
      <c r="I284" s="73">
        <v>1</v>
      </c>
      <c r="J284" s="74">
        <f>IF($D284="무료",0,IF($D284="메뉴",0,IF($D284="프렙",IFERROR(VLOOKUP($E284,'② 프렙 원가'!$B$6:$F$16,5,FALSE),0),IFERROR(VLOOKUP($E284,'① 식재료 단가'!$B$6:$G$123,6,FALSE),0))))</f>
      </c>
      <c r="K284" s="75">
        <f>IF($D284="메뉴",ROUND($G284*$J284,1),IF($I284&gt;0,ROUND($G284/$I284*$J284,1),0))</f>
      </c>
      <c r="L284" s="64" t="s">
        <v>66</v>
      </c>
    </row>
    <row r="285" spans="1:12" x14ac:dyDescent="0.25">
      <c r="A285" s="77" t="s">
        <v>79</v>
      </c>
      <c r="B285" s="36" t="s">
        <v>142</v>
      </c>
      <c r="C285" s="63">
        <v>8</v>
      </c>
      <c r="D285" s="78" t="s">
        <v>204</v>
      </c>
      <c r="E285" s="49" t="s">
        <v>356</v>
      </c>
      <c r="F285" s="77" t="s">
        <v>66</v>
      </c>
      <c r="G285" s="72">
        <v>10</v>
      </c>
      <c r="H285" s="63" t="s">
        <v>207</v>
      </c>
      <c r="I285" s="73">
        <v>1</v>
      </c>
      <c r="J285" s="74">
        <f>IF($D285="무료",0,IF($D285="메뉴",0,IF($D285="프렙",IFERROR(VLOOKUP($E285,'② 프렙 원가'!$B$6:$F$16,5,FALSE),0),IFERROR(VLOOKUP($E285,'① 식재료 단가'!$B$6:$G$123,6,FALSE),0))))</f>
      </c>
      <c r="K285" s="75">
        <f>IF($D285="메뉴",ROUND($G285*$J285,1),IF($I285&gt;0,ROUND($G285/$I285*$J285,1),0))</f>
      </c>
      <c r="L285" s="64" t="s">
        <v>332</v>
      </c>
    </row>
    <row r="286" spans="1:12" x14ac:dyDescent="0.25">
      <c r="A286" s="77" t="s">
        <v>79</v>
      </c>
      <c r="B286" s="36" t="s">
        <v>142</v>
      </c>
      <c r="C286" s="63">
        <v>9</v>
      </c>
      <c r="D286" s="79" t="s">
        <v>209</v>
      </c>
      <c r="E286" s="49" t="s">
        <v>348</v>
      </c>
      <c r="F286" s="77" t="s">
        <v>349</v>
      </c>
      <c r="G286" s="72">
        <v>30</v>
      </c>
      <c r="H286" s="63" t="s">
        <v>207</v>
      </c>
      <c r="I286" s="73">
        <v>1</v>
      </c>
      <c r="J286" s="74">
        <f>IF($D286="무료",0,IF($D286="메뉴",0,IF($D286="프렙",IFERROR(VLOOKUP($E286,'② 프렙 원가'!$B$6:$F$16,5,FALSE),0),IFERROR(VLOOKUP($E286,'① 식재료 단가'!$B$6:$G$123,6,FALSE),0))))</f>
      </c>
      <c r="K286" s="75">
        <f>IF($D286="메뉴",ROUND($G286*$J286,1),IF($I286&gt;0,ROUND($G286/$I286*$J286,1),0))</f>
      </c>
      <c r="L286" s="64" t="s">
        <v>261</v>
      </c>
    </row>
    <row r="287" spans="1:12" x14ac:dyDescent="0.25">
      <c r="A287" s="70" t="s">
        <v>79</v>
      </c>
      <c r="B287" s="31" t="s">
        <v>143</v>
      </c>
      <c r="C287" s="53">
        <v>1</v>
      </c>
      <c r="D287" s="71" t="s">
        <v>204</v>
      </c>
      <c r="E287" s="44" t="s">
        <v>205</v>
      </c>
      <c r="F287" s="70" t="s">
        <v>206</v>
      </c>
      <c r="G287" s="72">
        <v>450</v>
      </c>
      <c r="H287" s="53" t="s">
        <v>207</v>
      </c>
      <c r="I287" s="73">
        <v>1</v>
      </c>
      <c r="J287" s="74">
        <f>IF($D287="무료",0,IF($D287="메뉴",0,IF($D287="프렙",IFERROR(VLOOKUP($E287,'② 프렙 원가'!$B$6:$F$16,5,FALSE),0),IFERROR(VLOOKUP($E287,'① 식재료 단가'!$B$6:$G$123,6,FALSE),0))))</f>
      </c>
      <c r="K287" s="75">
        <f>IF($D287="메뉴",ROUND($G287*$J287,1),IF($I287&gt;0,ROUND($G287/$I287*$J287,1),0))</f>
      </c>
      <c r="L287" s="54" t="s">
        <v>358</v>
      </c>
    </row>
    <row r="288" spans="1:12" x14ac:dyDescent="0.25">
      <c r="A288" s="70" t="s">
        <v>79</v>
      </c>
      <c r="B288" s="31" t="s">
        <v>143</v>
      </c>
      <c r="C288" s="53">
        <v>2</v>
      </c>
      <c r="D288" s="76" t="s">
        <v>209</v>
      </c>
      <c r="E288" s="44" t="s">
        <v>260</v>
      </c>
      <c r="F288" s="70" t="s">
        <v>66</v>
      </c>
      <c r="G288" s="72">
        <v>30</v>
      </c>
      <c r="H288" s="53" t="s">
        <v>207</v>
      </c>
      <c r="I288" s="73">
        <v>1</v>
      </c>
      <c r="J288" s="74">
        <f>IF($D288="무료",0,IF($D288="메뉴",0,IF($D288="프렙",IFERROR(VLOOKUP($E288,'② 프렙 원가'!$B$6:$F$16,5,FALSE),0),IFERROR(VLOOKUP($E288,'① 식재료 단가'!$B$6:$G$123,6,FALSE),0))))</f>
      </c>
      <c r="K288" s="75">
        <f>IF($D288="메뉴",ROUND($G288*$J288,1),IF($I288&gt;0,ROUND($G288/$I288*$J288,1),0))</f>
      </c>
      <c r="L288" s="54" t="s">
        <v>351</v>
      </c>
    </row>
    <row r="289" spans="1:12" x14ac:dyDescent="0.25">
      <c r="A289" s="70" t="s">
        <v>79</v>
      </c>
      <c r="B289" s="31" t="s">
        <v>143</v>
      </c>
      <c r="C289" s="53">
        <v>3</v>
      </c>
      <c r="D289" s="71" t="s">
        <v>204</v>
      </c>
      <c r="E289" s="44" t="s">
        <v>283</v>
      </c>
      <c r="F289" s="70" t="s">
        <v>284</v>
      </c>
      <c r="G289" s="72">
        <v>5</v>
      </c>
      <c r="H289" s="53" t="s">
        <v>207</v>
      </c>
      <c r="I289" s="73">
        <v>1</v>
      </c>
      <c r="J289" s="74">
        <f>IF($D289="무료",0,IF($D289="메뉴",0,IF($D289="프렙",IFERROR(VLOOKUP($E289,'② 프렙 원가'!$B$6:$F$16,5,FALSE),0),IFERROR(VLOOKUP($E289,'① 식재료 단가'!$B$6:$G$123,6,FALSE),0))))</f>
      </c>
      <c r="K289" s="75">
        <f>IF($D289="메뉴",ROUND($G289*$J289,1),IF($I289&gt;0,ROUND($G289/$I289*$J289,1),0))</f>
      </c>
      <c r="L289" s="54" t="s">
        <v>66</v>
      </c>
    </row>
    <row r="290" spans="1:12" x14ac:dyDescent="0.25">
      <c r="A290" s="70" t="s">
        <v>79</v>
      </c>
      <c r="B290" s="31" t="s">
        <v>143</v>
      </c>
      <c r="C290" s="53">
        <v>4</v>
      </c>
      <c r="D290" s="71" t="s">
        <v>204</v>
      </c>
      <c r="E290" s="44" t="s">
        <v>248</v>
      </c>
      <c r="F290" s="70" t="s">
        <v>66</v>
      </c>
      <c r="G290" s="72">
        <v>10</v>
      </c>
      <c r="H290" s="53" t="s">
        <v>207</v>
      </c>
      <c r="I290" s="73">
        <v>1</v>
      </c>
      <c r="J290" s="74">
        <f>IF($D290="무료",0,IF($D290="메뉴",0,IF($D290="프렙",IFERROR(VLOOKUP($E290,'② 프렙 원가'!$B$6:$F$16,5,FALSE),0),IFERROR(VLOOKUP($E290,'① 식재료 단가'!$B$6:$G$123,6,FALSE),0))))</f>
      </c>
      <c r="K290" s="75">
        <f>IF($D290="메뉴",ROUND($G290*$J290,1),IF($I290&gt;0,ROUND($G290/$I290*$J290,1),0))</f>
      </c>
      <c r="L290" s="54" t="s">
        <v>66</v>
      </c>
    </row>
    <row r="291" spans="1:12" x14ac:dyDescent="0.25">
      <c r="A291" s="70" t="s">
        <v>79</v>
      </c>
      <c r="B291" s="31" t="s">
        <v>143</v>
      </c>
      <c r="C291" s="53">
        <v>5</v>
      </c>
      <c r="D291" s="71" t="s">
        <v>204</v>
      </c>
      <c r="E291" s="44" t="s">
        <v>279</v>
      </c>
      <c r="F291" s="70" t="s">
        <v>66</v>
      </c>
      <c r="G291" s="72">
        <v>10</v>
      </c>
      <c r="H291" s="53" t="s">
        <v>207</v>
      </c>
      <c r="I291" s="73">
        <v>1</v>
      </c>
      <c r="J291" s="74">
        <f>IF($D291="무료",0,IF($D291="메뉴",0,IF($D291="프렙",IFERROR(VLOOKUP($E291,'② 프렙 원가'!$B$6:$F$16,5,FALSE),0),IFERROR(VLOOKUP($E291,'① 식재료 단가'!$B$6:$G$123,6,FALSE),0))))</f>
      </c>
      <c r="K291" s="75">
        <f>IF($D291="메뉴",ROUND($G291*$J291,1),IF($I291&gt;0,ROUND($G291/$I291*$J291,1),0))</f>
      </c>
      <c r="L291" s="54" t="s">
        <v>332</v>
      </c>
    </row>
    <row r="292" spans="1:12" x14ac:dyDescent="0.25">
      <c r="A292" s="70" t="s">
        <v>79</v>
      </c>
      <c r="B292" s="31" t="s">
        <v>143</v>
      </c>
      <c r="C292" s="53">
        <v>6</v>
      </c>
      <c r="D292" s="71" t="s">
        <v>204</v>
      </c>
      <c r="E292" s="44" t="s">
        <v>334</v>
      </c>
      <c r="F292" s="70" t="s">
        <v>66</v>
      </c>
      <c r="G292" s="72">
        <v>5</v>
      </c>
      <c r="H292" s="53" t="s">
        <v>207</v>
      </c>
      <c r="I292" s="73">
        <v>1</v>
      </c>
      <c r="J292" s="74">
        <f>IF($D292="무료",0,IF($D292="메뉴",0,IF($D292="프렙",IFERROR(VLOOKUP($E292,'② 프렙 원가'!$B$6:$F$16,5,FALSE),0),IFERROR(VLOOKUP($E292,'① 식재료 단가'!$B$6:$G$123,6,FALSE),0))))</f>
      </c>
      <c r="K292" s="75">
        <f>IF($D292="메뉴",ROUND($G292*$J292,1),IF($I292&gt;0,ROUND($G292/$I292*$J292,1),0))</f>
      </c>
      <c r="L292" s="54" t="s">
        <v>332</v>
      </c>
    </row>
    <row r="293" spans="1:12" x14ac:dyDescent="0.25">
      <c r="A293" s="70" t="s">
        <v>79</v>
      </c>
      <c r="B293" s="31" t="s">
        <v>143</v>
      </c>
      <c r="C293" s="53">
        <v>7</v>
      </c>
      <c r="D293" s="71" t="s">
        <v>204</v>
      </c>
      <c r="E293" s="44" t="s">
        <v>359</v>
      </c>
      <c r="F293" s="70" t="s">
        <v>66</v>
      </c>
      <c r="G293" s="72">
        <v>30</v>
      </c>
      <c r="H293" s="53" t="s">
        <v>207</v>
      </c>
      <c r="I293" s="73">
        <v>1</v>
      </c>
      <c r="J293" s="74">
        <f>IF($D293="무료",0,IF($D293="메뉴",0,IF($D293="프렙",IFERROR(VLOOKUP($E293,'② 프렙 원가'!$B$6:$F$16,5,FALSE),0),IFERROR(VLOOKUP($E293,'① 식재료 단가'!$B$6:$G$123,6,FALSE),0))))</f>
      </c>
      <c r="K293" s="75">
        <f>IF($D293="메뉴",ROUND($G293*$J293,1),IF($I293&gt;0,ROUND($G293/$I293*$J293,1),0))</f>
      </c>
      <c r="L293" s="54" t="s">
        <v>332</v>
      </c>
    </row>
    <row r="294" spans="1:12" x14ac:dyDescent="0.25">
      <c r="A294" s="70" t="s">
        <v>79</v>
      </c>
      <c r="B294" s="31" t="s">
        <v>143</v>
      </c>
      <c r="C294" s="53">
        <v>8</v>
      </c>
      <c r="D294" s="71" t="s">
        <v>204</v>
      </c>
      <c r="E294" s="44" t="s">
        <v>216</v>
      </c>
      <c r="F294" s="70" t="s">
        <v>66</v>
      </c>
      <c r="G294" s="72">
        <v>5</v>
      </c>
      <c r="H294" s="53" t="s">
        <v>207</v>
      </c>
      <c r="I294" s="73">
        <v>1</v>
      </c>
      <c r="J294" s="74">
        <f>IF($D294="무료",0,IF($D294="메뉴",0,IF($D294="프렙",IFERROR(VLOOKUP($E294,'② 프렙 원가'!$B$6:$F$16,5,FALSE),0),IFERROR(VLOOKUP($E294,'① 식재료 단가'!$B$6:$G$123,6,FALSE),0))))</f>
      </c>
      <c r="K294" s="75">
        <f>IF($D294="메뉴",ROUND($G294*$J294,1),IF($I294&gt;0,ROUND($G294/$I294*$J294,1),0))</f>
      </c>
      <c r="L294" s="54" t="s">
        <v>66</v>
      </c>
    </row>
    <row r="295" spans="1:12" x14ac:dyDescent="0.25">
      <c r="A295" s="70" t="s">
        <v>79</v>
      </c>
      <c r="B295" s="31" t="s">
        <v>143</v>
      </c>
      <c r="C295" s="53">
        <v>9</v>
      </c>
      <c r="D295" s="71" t="s">
        <v>204</v>
      </c>
      <c r="E295" s="44" t="s">
        <v>356</v>
      </c>
      <c r="F295" s="70" t="s">
        <v>66</v>
      </c>
      <c r="G295" s="72">
        <v>10</v>
      </c>
      <c r="H295" s="53" t="s">
        <v>207</v>
      </c>
      <c r="I295" s="73">
        <v>1</v>
      </c>
      <c r="J295" s="74">
        <f>IF($D295="무료",0,IF($D295="메뉴",0,IF($D295="프렙",IFERROR(VLOOKUP($E295,'② 프렙 원가'!$B$6:$F$16,5,FALSE),0),IFERROR(VLOOKUP($E295,'① 식재료 단가'!$B$6:$G$123,6,FALSE),0))))</f>
      </c>
      <c r="K295" s="75">
        <f>IF($D295="메뉴",ROUND($G295*$J295,1),IF($I295&gt;0,ROUND($G295/$I295*$J295,1),0))</f>
      </c>
      <c r="L295" s="54" t="s">
        <v>332</v>
      </c>
    </row>
    <row r="296" spans="1:12" x14ac:dyDescent="0.25">
      <c r="A296" s="77" t="s">
        <v>79</v>
      </c>
      <c r="B296" s="36" t="s">
        <v>144</v>
      </c>
      <c r="C296" s="63">
        <v>1</v>
      </c>
      <c r="D296" s="78" t="s">
        <v>204</v>
      </c>
      <c r="E296" s="49" t="s">
        <v>205</v>
      </c>
      <c r="F296" s="77" t="s">
        <v>206</v>
      </c>
      <c r="G296" s="72">
        <v>900</v>
      </c>
      <c r="H296" s="63" t="s">
        <v>207</v>
      </c>
      <c r="I296" s="73">
        <v>1</v>
      </c>
      <c r="J296" s="74">
        <f>IF($D296="무료",0,IF($D296="메뉴",0,IF($D296="프렙",IFERROR(VLOOKUP($E296,'② 프렙 원가'!$B$6:$F$16,5,FALSE),0),IFERROR(VLOOKUP($E296,'① 식재료 단가'!$B$6:$G$123,6,FALSE),0))))</f>
      </c>
      <c r="K296" s="75">
        <f>IF($D296="메뉴",ROUND($G296*$J296,1),IF($I296&gt;0,ROUND($G296/$I296*$J296,1),0))</f>
      </c>
      <c r="L296" s="64" t="s">
        <v>360</v>
      </c>
    </row>
    <row r="297" spans="1:12" x14ac:dyDescent="0.25">
      <c r="A297" s="77" t="s">
        <v>79</v>
      </c>
      <c r="B297" s="36" t="s">
        <v>144</v>
      </c>
      <c r="C297" s="63">
        <v>2</v>
      </c>
      <c r="D297" s="79" t="s">
        <v>209</v>
      </c>
      <c r="E297" s="49" t="s">
        <v>260</v>
      </c>
      <c r="F297" s="77" t="s">
        <v>66</v>
      </c>
      <c r="G297" s="72">
        <v>50</v>
      </c>
      <c r="H297" s="63" t="s">
        <v>207</v>
      </c>
      <c r="I297" s="73">
        <v>1</v>
      </c>
      <c r="J297" s="74">
        <f>IF($D297="무료",0,IF($D297="메뉴",0,IF($D297="프렙",IFERROR(VLOOKUP($E297,'② 프렙 원가'!$B$6:$F$16,5,FALSE),0),IFERROR(VLOOKUP($E297,'① 식재료 단가'!$B$6:$G$123,6,FALSE),0))))</f>
      </c>
      <c r="K297" s="75">
        <f>IF($D297="메뉴",ROUND($G297*$J297,1),IF($I297&gt;0,ROUND($G297/$I297*$J297,1),0))</f>
      </c>
      <c r="L297" s="64" t="s">
        <v>351</v>
      </c>
    </row>
    <row r="298" spans="1:12" x14ac:dyDescent="0.25">
      <c r="A298" s="77" t="s">
        <v>79</v>
      </c>
      <c r="B298" s="36" t="s">
        <v>144</v>
      </c>
      <c r="C298" s="63">
        <v>3</v>
      </c>
      <c r="D298" s="78" t="s">
        <v>204</v>
      </c>
      <c r="E298" s="49" t="s">
        <v>283</v>
      </c>
      <c r="F298" s="77" t="s">
        <v>284</v>
      </c>
      <c r="G298" s="72">
        <v>5</v>
      </c>
      <c r="H298" s="63" t="s">
        <v>207</v>
      </c>
      <c r="I298" s="73">
        <v>1</v>
      </c>
      <c r="J298" s="74">
        <f>IF($D298="무료",0,IF($D298="메뉴",0,IF($D298="프렙",IFERROR(VLOOKUP($E298,'② 프렙 원가'!$B$6:$F$16,5,FALSE),0),IFERROR(VLOOKUP($E298,'① 식재료 단가'!$B$6:$G$123,6,FALSE),0))))</f>
      </c>
      <c r="K298" s="75">
        <f>IF($D298="메뉴",ROUND($G298*$J298,1),IF($I298&gt;0,ROUND($G298/$I298*$J298,1),0))</f>
      </c>
      <c r="L298" s="64" t="s">
        <v>66</v>
      </c>
    </row>
    <row r="299" spans="1:12" x14ac:dyDescent="0.25">
      <c r="A299" s="77" t="s">
        <v>79</v>
      </c>
      <c r="B299" s="36" t="s">
        <v>144</v>
      </c>
      <c r="C299" s="63">
        <v>4</v>
      </c>
      <c r="D299" s="78" t="s">
        <v>204</v>
      </c>
      <c r="E299" s="49" t="s">
        <v>248</v>
      </c>
      <c r="F299" s="77" t="s">
        <v>66</v>
      </c>
      <c r="G299" s="72">
        <v>15</v>
      </c>
      <c r="H299" s="63" t="s">
        <v>207</v>
      </c>
      <c r="I299" s="73">
        <v>1</v>
      </c>
      <c r="J299" s="74">
        <f>IF($D299="무료",0,IF($D299="메뉴",0,IF($D299="프렙",IFERROR(VLOOKUP($E299,'② 프렙 원가'!$B$6:$F$16,5,FALSE),0),IFERROR(VLOOKUP($E299,'① 식재료 단가'!$B$6:$G$123,6,FALSE),0))))</f>
      </c>
      <c r="K299" s="75">
        <f>IF($D299="메뉴",ROUND($G299*$J299,1),IF($I299&gt;0,ROUND($G299/$I299*$J299,1),0))</f>
      </c>
      <c r="L299" s="64" t="s">
        <v>66</v>
      </c>
    </row>
    <row r="300" spans="1:12" x14ac:dyDescent="0.25">
      <c r="A300" s="77" t="s">
        <v>79</v>
      </c>
      <c r="B300" s="36" t="s">
        <v>144</v>
      </c>
      <c r="C300" s="63">
        <v>5</v>
      </c>
      <c r="D300" s="78" t="s">
        <v>204</v>
      </c>
      <c r="E300" s="49" t="s">
        <v>359</v>
      </c>
      <c r="F300" s="77" t="s">
        <v>66</v>
      </c>
      <c r="G300" s="72">
        <v>30</v>
      </c>
      <c r="H300" s="63" t="s">
        <v>207</v>
      </c>
      <c r="I300" s="73">
        <v>1</v>
      </c>
      <c r="J300" s="74">
        <f>IF($D300="무료",0,IF($D300="메뉴",0,IF($D300="프렙",IFERROR(VLOOKUP($E300,'② 프렙 원가'!$B$6:$F$16,5,FALSE),0),IFERROR(VLOOKUP($E300,'① 식재료 단가'!$B$6:$G$123,6,FALSE),0))))</f>
      </c>
      <c r="K300" s="75">
        <f>IF($D300="메뉴",ROUND($G300*$J300,1),IF($I300&gt;0,ROUND($G300/$I300*$J300,1),0))</f>
      </c>
      <c r="L300" s="64" t="s">
        <v>332</v>
      </c>
    </row>
    <row r="301" spans="1:12" x14ac:dyDescent="0.25">
      <c r="A301" s="77" t="s">
        <v>79</v>
      </c>
      <c r="B301" s="36" t="s">
        <v>144</v>
      </c>
      <c r="C301" s="63">
        <v>6</v>
      </c>
      <c r="D301" s="78" t="s">
        <v>204</v>
      </c>
      <c r="E301" s="49" t="s">
        <v>279</v>
      </c>
      <c r="F301" s="77" t="s">
        <v>66</v>
      </c>
      <c r="G301" s="72">
        <v>10</v>
      </c>
      <c r="H301" s="63" t="s">
        <v>207</v>
      </c>
      <c r="I301" s="73">
        <v>1</v>
      </c>
      <c r="J301" s="74">
        <f>IF($D301="무료",0,IF($D301="메뉴",0,IF($D301="프렙",IFERROR(VLOOKUP($E301,'② 프렙 원가'!$B$6:$F$16,5,FALSE),0),IFERROR(VLOOKUP($E301,'① 식재료 단가'!$B$6:$G$123,6,FALSE),0))))</f>
      </c>
      <c r="K301" s="75">
        <f>IF($D301="메뉴",ROUND($G301*$J301,1),IF($I301&gt;0,ROUND($G301/$I301*$J301,1),0))</f>
      </c>
      <c r="L301" s="64" t="s">
        <v>332</v>
      </c>
    </row>
    <row r="302" spans="1:12" x14ac:dyDescent="0.25">
      <c r="A302" s="77" t="s">
        <v>79</v>
      </c>
      <c r="B302" s="36" t="s">
        <v>144</v>
      </c>
      <c r="C302" s="63">
        <v>7</v>
      </c>
      <c r="D302" s="78" t="s">
        <v>204</v>
      </c>
      <c r="E302" s="49" t="s">
        <v>334</v>
      </c>
      <c r="F302" s="77" t="s">
        <v>66</v>
      </c>
      <c r="G302" s="72">
        <v>5</v>
      </c>
      <c r="H302" s="63" t="s">
        <v>207</v>
      </c>
      <c r="I302" s="73">
        <v>1</v>
      </c>
      <c r="J302" s="74">
        <f>IF($D302="무료",0,IF($D302="메뉴",0,IF($D302="프렙",IFERROR(VLOOKUP($E302,'② 프렙 원가'!$B$6:$F$16,5,FALSE),0),IFERROR(VLOOKUP($E302,'① 식재료 단가'!$B$6:$G$123,6,FALSE),0))))</f>
      </c>
      <c r="K302" s="75">
        <f>IF($D302="메뉴",ROUND($G302*$J302,1),IF($I302&gt;0,ROUND($G302/$I302*$J302,1),0))</f>
      </c>
      <c r="L302" s="64" t="s">
        <v>332</v>
      </c>
    </row>
    <row r="303" spans="1:12" x14ac:dyDescent="0.25">
      <c r="A303" s="77" t="s">
        <v>79</v>
      </c>
      <c r="B303" s="36" t="s">
        <v>144</v>
      </c>
      <c r="C303" s="63">
        <v>8</v>
      </c>
      <c r="D303" s="78" t="s">
        <v>204</v>
      </c>
      <c r="E303" s="49" t="s">
        <v>216</v>
      </c>
      <c r="F303" s="77" t="s">
        <v>66</v>
      </c>
      <c r="G303" s="72">
        <v>5</v>
      </c>
      <c r="H303" s="63" t="s">
        <v>207</v>
      </c>
      <c r="I303" s="73">
        <v>1</v>
      </c>
      <c r="J303" s="74">
        <f>IF($D303="무료",0,IF($D303="메뉴",0,IF($D303="프렙",IFERROR(VLOOKUP($E303,'② 프렙 원가'!$B$6:$F$16,5,FALSE),0),IFERROR(VLOOKUP($E303,'① 식재료 단가'!$B$6:$G$123,6,FALSE),0))))</f>
      </c>
      <c r="K303" s="75">
        <f>IF($D303="메뉴",ROUND($G303*$J303,1),IF($I303&gt;0,ROUND($G303/$I303*$J303,1),0))</f>
      </c>
      <c r="L303" s="64" t="s">
        <v>66</v>
      </c>
    </row>
    <row r="304" spans="1:12" x14ac:dyDescent="0.25">
      <c r="A304" s="77" t="s">
        <v>79</v>
      </c>
      <c r="B304" s="36" t="s">
        <v>144</v>
      </c>
      <c r="C304" s="63">
        <v>9</v>
      </c>
      <c r="D304" s="78" t="s">
        <v>204</v>
      </c>
      <c r="E304" s="49" t="s">
        <v>356</v>
      </c>
      <c r="F304" s="77" t="s">
        <v>66</v>
      </c>
      <c r="G304" s="72">
        <v>10</v>
      </c>
      <c r="H304" s="63" t="s">
        <v>207</v>
      </c>
      <c r="I304" s="73">
        <v>1</v>
      </c>
      <c r="J304" s="74">
        <f>IF($D304="무료",0,IF($D304="메뉴",0,IF($D304="프렙",IFERROR(VLOOKUP($E304,'② 프렙 원가'!$B$6:$F$16,5,FALSE),0),IFERROR(VLOOKUP($E304,'① 식재료 단가'!$B$6:$G$123,6,FALSE),0))))</f>
      </c>
      <c r="K304" s="75">
        <f>IF($D304="메뉴",ROUND($G304*$J304,1),IF($I304&gt;0,ROUND($G304/$I304*$J304,1),0))</f>
      </c>
      <c r="L304" s="64" t="s">
        <v>332</v>
      </c>
    </row>
    <row r="305" spans="1:12" x14ac:dyDescent="0.25">
      <c r="A305" s="70" t="s">
        <v>80</v>
      </c>
      <c r="B305" s="31" t="s">
        <v>145</v>
      </c>
      <c r="C305" s="53">
        <v>1</v>
      </c>
      <c r="D305" s="71" t="s">
        <v>204</v>
      </c>
      <c r="E305" s="44" t="s">
        <v>361</v>
      </c>
      <c r="F305" s="70" t="s">
        <v>66</v>
      </c>
      <c r="G305" s="72">
        <v>50</v>
      </c>
      <c r="H305" s="53" t="s">
        <v>207</v>
      </c>
      <c r="I305" s="73">
        <v>1</v>
      </c>
      <c r="J305" s="74">
        <f>IF($D305="무료",0,IF($D305="메뉴",0,IF($D305="프렙",IFERROR(VLOOKUP($E305,'② 프렙 원가'!$B$6:$F$16,5,FALSE),0),IFERROR(VLOOKUP($E305,'① 식재료 단가'!$B$6:$G$123,6,FALSE),0))))</f>
      </c>
      <c r="K305" s="75">
        <f>IF($D305="메뉴",ROUND($G305*$J305,1),IF($I305&gt;0,ROUND($G305/$I305*$J305,1),0))</f>
      </c>
      <c r="L305" s="54" t="s">
        <v>362</v>
      </c>
    </row>
    <row r="306" spans="1:12" x14ac:dyDescent="0.25">
      <c r="A306" s="77" t="s">
        <v>80</v>
      </c>
      <c r="B306" s="36" t="s">
        <v>146</v>
      </c>
      <c r="C306" s="63">
        <v>1</v>
      </c>
      <c r="D306" s="78" t="s">
        <v>204</v>
      </c>
      <c r="E306" s="49" t="s">
        <v>361</v>
      </c>
      <c r="F306" s="77" t="s">
        <v>66</v>
      </c>
      <c r="G306" s="72">
        <v>50</v>
      </c>
      <c r="H306" s="63" t="s">
        <v>207</v>
      </c>
      <c r="I306" s="73">
        <v>1</v>
      </c>
      <c r="J306" s="74">
        <f>IF($D306="무료",0,IF($D306="메뉴",0,IF($D306="프렙",IFERROR(VLOOKUP($E306,'② 프렙 원가'!$B$6:$F$16,5,FALSE),0),IFERROR(VLOOKUP($E306,'① 식재료 단가'!$B$6:$G$123,6,FALSE),0))))</f>
      </c>
      <c r="K306" s="75">
        <f>IF($D306="메뉴",ROUND($G306*$J306,1),IF($I306&gt;0,ROUND($G306/$I306*$J306,1),0))</f>
      </c>
      <c r="L306" s="64" t="s">
        <v>66</v>
      </c>
    </row>
    <row r="307" spans="1:12" x14ac:dyDescent="0.25">
      <c r="A307" s="77" t="s">
        <v>80</v>
      </c>
      <c r="B307" s="36" t="s">
        <v>146</v>
      </c>
      <c r="C307" s="63">
        <v>2</v>
      </c>
      <c r="D307" s="78" t="s">
        <v>204</v>
      </c>
      <c r="E307" s="49" t="s">
        <v>279</v>
      </c>
      <c r="F307" s="77" t="s">
        <v>66</v>
      </c>
      <c r="G307" s="72">
        <v>20</v>
      </c>
      <c r="H307" s="63" t="s">
        <v>207</v>
      </c>
      <c r="I307" s="73">
        <v>1</v>
      </c>
      <c r="J307" s="74">
        <f>IF($D307="무료",0,IF($D307="메뉴",0,IF($D307="프렙",IFERROR(VLOOKUP($E307,'② 프렙 원가'!$B$6:$F$16,5,FALSE),0),IFERROR(VLOOKUP($E307,'① 식재료 단가'!$B$6:$G$123,6,FALSE),0))))</f>
      </c>
      <c r="K307" s="75">
        <f>IF($D307="메뉴",ROUND($G307*$J307,1),IF($I307&gt;0,ROUND($G307/$I307*$J307,1),0))</f>
      </c>
      <c r="L307" s="64" t="s">
        <v>350</v>
      </c>
    </row>
    <row r="308" spans="1:12" x14ac:dyDescent="0.25">
      <c r="A308" s="77" t="s">
        <v>80</v>
      </c>
      <c r="B308" s="36" t="s">
        <v>146</v>
      </c>
      <c r="C308" s="63">
        <v>3</v>
      </c>
      <c r="D308" s="78" t="s">
        <v>204</v>
      </c>
      <c r="E308" s="49" t="s">
        <v>243</v>
      </c>
      <c r="F308" s="77" t="s">
        <v>66</v>
      </c>
      <c r="G308" s="72">
        <v>30</v>
      </c>
      <c r="H308" s="63" t="s">
        <v>207</v>
      </c>
      <c r="I308" s="73">
        <v>1</v>
      </c>
      <c r="J308" s="74">
        <f>IF($D308="무료",0,IF($D308="메뉴",0,IF($D308="프렙",IFERROR(VLOOKUP($E308,'② 프렙 원가'!$B$6:$F$16,5,FALSE),0),IFERROR(VLOOKUP($E308,'① 식재료 단가'!$B$6:$G$123,6,FALSE),0))))</f>
      </c>
      <c r="K308" s="75">
        <f>IF($D308="메뉴",ROUND($G308*$J308,1),IF($I308&gt;0,ROUND($G308/$I308*$J308,1),0))</f>
      </c>
      <c r="L308" s="64" t="s">
        <v>350</v>
      </c>
    </row>
    <row r="309" spans="1:12" x14ac:dyDescent="0.25">
      <c r="A309" s="77" t="s">
        <v>80</v>
      </c>
      <c r="B309" s="36" t="s">
        <v>146</v>
      </c>
      <c r="C309" s="63">
        <v>4</v>
      </c>
      <c r="D309" s="78" t="s">
        <v>204</v>
      </c>
      <c r="E309" s="49" t="s">
        <v>241</v>
      </c>
      <c r="F309" s="77" t="s">
        <v>66</v>
      </c>
      <c r="G309" s="72">
        <v>30</v>
      </c>
      <c r="H309" s="63" t="s">
        <v>207</v>
      </c>
      <c r="I309" s="73">
        <v>1</v>
      </c>
      <c r="J309" s="74">
        <f>IF($D309="무료",0,IF($D309="메뉴",0,IF($D309="프렙",IFERROR(VLOOKUP($E309,'② 프렙 원가'!$B$6:$F$16,5,FALSE),0),IFERROR(VLOOKUP($E309,'① 식재료 단가'!$B$6:$G$123,6,FALSE),0))))</f>
      </c>
      <c r="K309" s="75">
        <f>IF($D309="메뉴",ROUND($G309*$J309,1),IF($I309&gt;0,ROUND($G309/$I309*$J309,1),0))</f>
      </c>
      <c r="L309" s="64" t="s">
        <v>242</v>
      </c>
    </row>
    <row r="310" spans="1:12" x14ac:dyDescent="0.25">
      <c r="A310" s="77" t="s">
        <v>80</v>
      </c>
      <c r="B310" s="36" t="s">
        <v>146</v>
      </c>
      <c r="C310" s="63">
        <v>5</v>
      </c>
      <c r="D310" s="78" t="s">
        <v>204</v>
      </c>
      <c r="E310" s="49" t="s">
        <v>253</v>
      </c>
      <c r="F310" s="77" t="s">
        <v>269</v>
      </c>
      <c r="G310" s="72">
        <v>10</v>
      </c>
      <c r="H310" s="63" t="s">
        <v>207</v>
      </c>
      <c r="I310" s="73">
        <v>1</v>
      </c>
      <c r="J310" s="74">
        <f>IF($D310="무료",0,IF($D310="메뉴",0,IF($D310="프렙",IFERROR(VLOOKUP($E310,'② 프렙 원가'!$B$6:$F$16,5,FALSE),0),IFERROR(VLOOKUP($E310,'① 식재료 단가'!$B$6:$G$123,6,FALSE),0))))</f>
      </c>
      <c r="K310" s="75">
        <f>IF($D310="메뉴",ROUND($G310*$J310,1),IF($I310&gt;0,ROUND($G310/$I310*$J310,1),0))</f>
      </c>
      <c r="L310" s="64" t="s">
        <v>242</v>
      </c>
    </row>
    <row r="311" spans="1:12" x14ac:dyDescent="0.25">
      <c r="A311" s="77" t="s">
        <v>80</v>
      </c>
      <c r="B311" s="36" t="s">
        <v>146</v>
      </c>
      <c r="C311" s="63">
        <v>6</v>
      </c>
      <c r="D311" s="78" t="s">
        <v>204</v>
      </c>
      <c r="E311" s="49" t="s">
        <v>356</v>
      </c>
      <c r="F311" s="77" t="s">
        <v>66</v>
      </c>
      <c r="G311" s="72">
        <v>10</v>
      </c>
      <c r="H311" s="63" t="s">
        <v>207</v>
      </c>
      <c r="I311" s="73">
        <v>1</v>
      </c>
      <c r="J311" s="74">
        <f>IF($D311="무료",0,IF($D311="메뉴",0,IF($D311="프렙",IFERROR(VLOOKUP($E311,'② 프렙 원가'!$B$6:$F$16,5,FALSE),0),IFERROR(VLOOKUP($E311,'① 식재료 단가'!$B$6:$G$123,6,FALSE),0))))</f>
      </c>
      <c r="K311" s="75">
        <f>IF($D311="메뉴",ROUND($G311*$J311,1),IF($I311&gt;0,ROUND($G311/$I311*$J311,1),0))</f>
      </c>
      <c r="L311" s="64" t="s">
        <v>363</v>
      </c>
    </row>
    <row r="312" spans="1:12" x14ac:dyDescent="0.25">
      <c r="A312" s="77" t="s">
        <v>80</v>
      </c>
      <c r="B312" s="36" t="s">
        <v>146</v>
      </c>
      <c r="C312" s="63">
        <v>7</v>
      </c>
      <c r="D312" s="78" t="s">
        <v>204</v>
      </c>
      <c r="E312" s="49" t="s">
        <v>246</v>
      </c>
      <c r="F312" s="77" t="s">
        <v>247</v>
      </c>
      <c r="G312" s="72">
        <v>10</v>
      </c>
      <c r="H312" s="63" t="s">
        <v>207</v>
      </c>
      <c r="I312" s="73">
        <v>1</v>
      </c>
      <c r="J312" s="74">
        <f>IF($D312="무료",0,IF($D312="메뉴",0,IF($D312="프렙",IFERROR(VLOOKUP($E312,'② 프렙 원가'!$B$6:$F$16,5,FALSE),0),IFERROR(VLOOKUP($E312,'① 식재료 단가'!$B$6:$G$123,6,FALSE),0))))</f>
      </c>
      <c r="K312" s="75">
        <f>IF($D312="메뉴",ROUND($G312*$J312,1),IF($I312&gt;0,ROUND($G312/$I312*$J312,1),0))</f>
      </c>
      <c r="L312" s="64" t="s">
        <v>66</v>
      </c>
    </row>
    <row r="313" spans="1:12" x14ac:dyDescent="0.25">
      <c r="A313" s="77" t="s">
        <v>80</v>
      </c>
      <c r="B313" s="36" t="s">
        <v>146</v>
      </c>
      <c r="C313" s="63">
        <v>8</v>
      </c>
      <c r="D313" s="78" t="s">
        <v>204</v>
      </c>
      <c r="E313" s="49" t="s">
        <v>283</v>
      </c>
      <c r="F313" s="77" t="s">
        <v>284</v>
      </c>
      <c r="G313" s="72">
        <v>10</v>
      </c>
      <c r="H313" s="63" t="s">
        <v>207</v>
      </c>
      <c r="I313" s="73">
        <v>1</v>
      </c>
      <c r="J313" s="74">
        <f>IF($D313="무료",0,IF($D313="메뉴",0,IF($D313="프렙",IFERROR(VLOOKUP($E313,'② 프렙 원가'!$B$6:$F$16,5,FALSE),0),IFERROR(VLOOKUP($E313,'① 식재료 단가'!$B$6:$G$123,6,FALSE),0))))</f>
      </c>
      <c r="K313" s="75">
        <f>IF($D313="메뉴",ROUND($G313*$J313,1),IF($I313&gt;0,ROUND($G313/$I313*$J313,1),0))</f>
      </c>
      <c r="L313" s="64" t="s">
        <v>66</v>
      </c>
    </row>
    <row r="314" spans="1:12" x14ac:dyDescent="0.25">
      <c r="A314" s="77" t="s">
        <v>80</v>
      </c>
      <c r="B314" s="36" t="s">
        <v>146</v>
      </c>
      <c r="C314" s="63">
        <v>9</v>
      </c>
      <c r="D314" s="78" t="s">
        <v>204</v>
      </c>
      <c r="E314" s="49" t="s">
        <v>364</v>
      </c>
      <c r="F314" s="77" t="s">
        <v>66</v>
      </c>
      <c r="G314" s="72">
        <v>10</v>
      </c>
      <c r="H314" s="63" t="s">
        <v>207</v>
      </c>
      <c r="I314" s="73">
        <v>1</v>
      </c>
      <c r="J314" s="74">
        <f>IF($D314="무료",0,IF($D314="메뉴",0,IF($D314="프렙",IFERROR(VLOOKUP($E314,'② 프렙 원가'!$B$6:$F$16,5,FALSE),0),IFERROR(VLOOKUP($E314,'① 식재료 단가'!$B$6:$G$123,6,FALSE),0))))</f>
      </c>
      <c r="K314" s="75">
        <f>IF($D314="메뉴",ROUND($G314*$J314,1),IF($I314&gt;0,ROUND($G314/$I314*$J314,1),0))</f>
      </c>
      <c r="L314" s="64" t="s">
        <v>242</v>
      </c>
    </row>
    <row r="315" spans="1:12" x14ac:dyDescent="0.25">
      <c r="A315" s="70" t="s">
        <v>80</v>
      </c>
      <c r="B315" s="31" t="s">
        <v>147</v>
      </c>
      <c r="C315" s="53">
        <v>1</v>
      </c>
      <c r="D315" s="71" t="s">
        <v>204</v>
      </c>
      <c r="E315" s="44" t="s">
        <v>365</v>
      </c>
      <c r="F315" s="70" t="s">
        <v>66</v>
      </c>
      <c r="G315" s="72">
        <v>200</v>
      </c>
      <c r="H315" s="53" t="s">
        <v>207</v>
      </c>
      <c r="I315" s="73">
        <v>1</v>
      </c>
      <c r="J315" s="74">
        <f>IF($D315="무료",0,IF($D315="메뉴",0,IF($D315="프렙",IFERROR(VLOOKUP($E315,'② 프렙 원가'!$B$6:$F$16,5,FALSE),0),IFERROR(VLOOKUP($E315,'① 식재료 단가'!$B$6:$G$123,6,FALSE),0))))</f>
      </c>
      <c r="K315" s="75">
        <f>IF($D315="메뉴",ROUND($G315*$J315,1),IF($I315&gt;0,ROUND($G315/$I315*$J315,1),0))</f>
      </c>
      <c r="L315" s="54" t="s">
        <v>366</v>
      </c>
    </row>
    <row r="316" spans="1:12" x14ac:dyDescent="0.25">
      <c r="A316" s="70" t="s">
        <v>80</v>
      </c>
      <c r="B316" s="31" t="s">
        <v>147</v>
      </c>
      <c r="C316" s="53">
        <v>2</v>
      </c>
      <c r="D316" s="71" t="s">
        <v>204</v>
      </c>
      <c r="E316" s="44" t="s">
        <v>338</v>
      </c>
      <c r="F316" s="70" t="s">
        <v>367</v>
      </c>
      <c r="G316" s="72">
        <v>100</v>
      </c>
      <c r="H316" s="53" t="s">
        <v>207</v>
      </c>
      <c r="I316" s="73">
        <v>1</v>
      </c>
      <c r="J316" s="74">
        <f>IF($D316="무료",0,IF($D316="메뉴",0,IF($D316="프렙",IFERROR(VLOOKUP($E316,'② 프렙 원가'!$B$6:$F$16,5,FALSE),0),IFERROR(VLOOKUP($E316,'① 식재료 단가'!$B$6:$G$123,6,FALSE),0))))</f>
      </c>
      <c r="K316" s="75">
        <f>IF($D316="메뉴",ROUND($G316*$J316,1),IF($I316&gt;0,ROUND($G316/$I316*$J316,1),0))</f>
      </c>
      <c r="L316" s="54" t="s">
        <v>242</v>
      </c>
    </row>
    <row r="317" spans="1:12" x14ac:dyDescent="0.25">
      <c r="A317" s="70" t="s">
        <v>80</v>
      </c>
      <c r="B317" s="31" t="s">
        <v>147</v>
      </c>
      <c r="C317" s="53">
        <v>3</v>
      </c>
      <c r="D317" s="71" t="s">
        <v>204</v>
      </c>
      <c r="E317" s="44" t="s">
        <v>279</v>
      </c>
      <c r="F317" s="70" t="s">
        <v>66</v>
      </c>
      <c r="G317" s="72">
        <v>20</v>
      </c>
      <c r="H317" s="53" t="s">
        <v>207</v>
      </c>
      <c r="I317" s="73">
        <v>1</v>
      </c>
      <c r="J317" s="74">
        <f>IF($D317="무료",0,IF($D317="메뉴",0,IF($D317="프렙",IFERROR(VLOOKUP($E317,'② 프렙 원가'!$B$6:$F$16,5,FALSE),0),IFERROR(VLOOKUP($E317,'① 식재료 단가'!$B$6:$G$123,6,FALSE),0))))</f>
      </c>
      <c r="K317" s="75">
        <f>IF($D317="메뉴",ROUND($G317*$J317,1),IF($I317&gt;0,ROUND($G317/$I317*$J317,1),0))</f>
      </c>
      <c r="L317" s="54" t="s">
        <v>242</v>
      </c>
    </row>
    <row r="318" spans="1:12" x14ac:dyDescent="0.25">
      <c r="A318" s="70" t="s">
        <v>80</v>
      </c>
      <c r="B318" s="31" t="s">
        <v>147</v>
      </c>
      <c r="C318" s="53">
        <v>4</v>
      </c>
      <c r="D318" s="71" t="s">
        <v>204</v>
      </c>
      <c r="E318" s="44" t="s">
        <v>253</v>
      </c>
      <c r="F318" s="70" t="s">
        <v>269</v>
      </c>
      <c r="G318" s="72">
        <v>10</v>
      </c>
      <c r="H318" s="53" t="s">
        <v>207</v>
      </c>
      <c r="I318" s="73">
        <v>1</v>
      </c>
      <c r="J318" s="74">
        <f>IF($D318="무료",0,IF($D318="메뉴",0,IF($D318="프렙",IFERROR(VLOOKUP($E318,'② 프렙 원가'!$B$6:$F$16,5,FALSE),0),IFERROR(VLOOKUP($E318,'① 식재료 단가'!$B$6:$G$123,6,FALSE),0))))</f>
      </c>
      <c r="K318" s="75">
        <f>IF($D318="메뉴",ROUND($G318*$J318,1),IF($I318&gt;0,ROUND($G318/$I318*$J318,1),0))</f>
      </c>
      <c r="L318" s="54" t="s">
        <v>242</v>
      </c>
    </row>
    <row r="319" spans="1:12" x14ac:dyDescent="0.25">
      <c r="A319" s="70" t="s">
        <v>80</v>
      </c>
      <c r="B319" s="31" t="s">
        <v>147</v>
      </c>
      <c r="C319" s="53">
        <v>5</v>
      </c>
      <c r="D319" s="71" t="s">
        <v>204</v>
      </c>
      <c r="E319" s="44" t="s">
        <v>234</v>
      </c>
      <c r="F319" s="70" t="s">
        <v>66</v>
      </c>
      <c r="G319" s="72">
        <v>5</v>
      </c>
      <c r="H319" s="53" t="s">
        <v>207</v>
      </c>
      <c r="I319" s="73">
        <v>1</v>
      </c>
      <c r="J319" s="74">
        <f>IF($D319="무료",0,IF($D319="메뉴",0,IF($D319="프렙",IFERROR(VLOOKUP($E319,'② 프렙 원가'!$B$6:$F$16,5,FALSE),0),IFERROR(VLOOKUP($E319,'① 식재료 단가'!$B$6:$G$123,6,FALSE),0))))</f>
      </c>
      <c r="K319" s="75">
        <f>IF($D319="메뉴",ROUND($G319*$J319,1),IF($I319&gt;0,ROUND($G319/$I319*$J319,1),0))</f>
      </c>
      <c r="L319" s="54" t="s">
        <v>242</v>
      </c>
    </row>
    <row r="320" spans="1:12" x14ac:dyDescent="0.25">
      <c r="A320" s="70" t="s">
        <v>80</v>
      </c>
      <c r="B320" s="31" t="s">
        <v>147</v>
      </c>
      <c r="C320" s="53">
        <v>6</v>
      </c>
      <c r="D320" s="71" t="s">
        <v>204</v>
      </c>
      <c r="E320" s="44" t="s">
        <v>300</v>
      </c>
      <c r="F320" s="70" t="s">
        <v>66</v>
      </c>
      <c r="G320" s="72">
        <v>5</v>
      </c>
      <c r="H320" s="53" t="s">
        <v>207</v>
      </c>
      <c r="I320" s="73">
        <v>1</v>
      </c>
      <c r="J320" s="74">
        <f>IF($D320="무료",0,IF($D320="메뉴",0,IF($D320="프렙",IFERROR(VLOOKUP($E320,'② 프렙 원가'!$B$6:$F$16,5,FALSE),0),IFERROR(VLOOKUP($E320,'① 식재료 단가'!$B$6:$G$123,6,FALSE),0))))</f>
      </c>
      <c r="K320" s="75">
        <f>IF($D320="메뉴",ROUND($G320*$J320,1),IF($I320&gt;0,ROUND($G320/$I320*$J320,1),0))</f>
      </c>
      <c r="L320" s="54" t="s">
        <v>242</v>
      </c>
    </row>
    <row r="321" spans="1:12" x14ac:dyDescent="0.25">
      <c r="A321" s="70" t="s">
        <v>80</v>
      </c>
      <c r="B321" s="31" t="s">
        <v>147</v>
      </c>
      <c r="C321" s="53">
        <v>7</v>
      </c>
      <c r="D321" s="71" t="s">
        <v>204</v>
      </c>
      <c r="E321" s="44" t="s">
        <v>328</v>
      </c>
      <c r="F321" s="70" t="s">
        <v>368</v>
      </c>
      <c r="G321" s="72">
        <v>10</v>
      </c>
      <c r="H321" s="53" t="s">
        <v>207</v>
      </c>
      <c r="I321" s="73">
        <v>1</v>
      </c>
      <c r="J321" s="74">
        <f>IF($D321="무료",0,IF($D321="메뉴",0,IF($D321="프렙",IFERROR(VLOOKUP($E321,'② 프렙 원가'!$B$6:$F$16,5,FALSE),0),IFERROR(VLOOKUP($E321,'① 식재료 단가'!$B$6:$G$123,6,FALSE),0))))</f>
      </c>
      <c r="K321" s="75">
        <f>IF($D321="메뉴",ROUND($G321*$J321,1),IF($I321&gt;0,ROUND($G321/$I321*$J321,1),0))</f>
      </c>
      <c r="L321" s="54" t="s">
        <v>66</v>
      </c>
    </row>
    <row r="322" spans="1:12" x14ac:dyDescent="0.25">
      <c r="A322" s="70" t="s">
        <v>80</v>
      </c>
      <c r="B322" s="31" t="s">
        <v>147</v>
      </c>
      <c r="C322" s="53">
        <v>8</v>
      </c>
      <c r="D322" s="71" t="s">
        <v>204</v>
      </c>
      <c r="E322" s="44" t="s">
        <v>327</v>
      </c>
      <c r="F322" s="70" t="s">
        <v>66</v>
      </c>
      <c r="G322" s="72">
        <v>10</v>
      </c>
      <c r="H322" s="53" t="s">
        <v>207</v>
      </c>
      <c r="I322" s="73">
        <v>1</v>
      </c>
      <c r="J322" s="74">
        <f>IF($D322="무료",0,IF($D322="메뉴",0,IF($D322="프렙",IFERROR(VLOOKUP($E322,'② 프렙 원가'!$B$6:$F$16,5,FALSE),0),IFERROR(VLOOKUP($E322,'① 식재료 단가'!$B$6:$G$123,6,FALSE),0))))</f>
      </c>
      <c r="K322" s="75">
        <f>IF($D322="메뉴",ROUND($G322*$J322,1),IF($I322&gt;0,ROUND($G322/$I322*$J322,1),0))</f>
      </c>
      <c r="L322" s="54" t="s">
        <v>66</v>
      </c>
    </row>
    <row r="323" spans="1:12" x14ac:dyDescent="0.25">
      <c r="A323" s="70" t="s">
        <v>80</v>
      </c>
      <c r="B323" s="31" t="s">
        <v>147</v>
      </c>
      <c r="C323" s="53">
        <v>9</v>
      </c>
      <c r="D323" s="71" t="s">
        <v>204</v>
      </c>
      <c r="E323" s="44" t="s">
        <v>216</v>
      </c>
      <c r="F323" s="70" t="s">
        <v>66</v>
      </c>
      <c r="G323" s="72">
        <v>10</v>
      </c>
      <c r="H323" s="53" t="s">
        <v>207</v>
      </c>
      <c r="I323" s="73">
        <v>1</v>
      </c>
      <c r="J323" s="74">
        <f>IF($D323="무료",0,IF($D323="메뉴",0,IF($D323="프렙",IFERROR(VLOOKUP($E323,'② 프렙 원가'!$B$6:$F$16,5,FALSE),0),IFERROR(VLOOKUP($E323,'① 식재료 단가'!$B$6:$G$123,6,FALSE),0))))</f>
      </c>
      <c r="K323" s="75">
        <f>IF($D323="메뉴",ROUND($G323*$J323,1),IF($I323&gt;0,ROUND($G323/$I323*$J323,1),0))</f>
      </c>
      <c r="L323" s="54" t="s">
        <v>66</v>
      </c>
    </row>
    <row r="324" spans="1:12" x14ac:dyDescent="0.25">
      <c r="A324" s="70" t="s">
        <v>80</v>
      </c>
      <c r="B324" s="31" t="s">
        <v>147</v>
      </c>
      <c r="C324" s="53">
        <v>10</v>
      </c>
      <c r="D324" s="71" t="s">
        <v>204</v>
      </c>
      <c r="E324" s="44" t="s">
        <v>238</v>
      </c>
      <c r="F324" s="70" t="s">
        <v>66</v>
      </c>
      <c r="G324" s="72">
        <v>10</v>
      </c>
      <c r="H324" s="53" t="s">
        <v>207</v>
      </c>
      <c r="I324" s="73">
        <v>1</v>
      </c>
      <c r="J324" s="74">
        <f>IF($D324="무료",0,IF($D324="메뉴",0,IF($D324="프렙",IFERROR(VLOOKUP($E324,'② 프렙 원가'!$B$6:$F$16,5,FALSE),0),IFERROR(VLOOKUP($E324,'① 식재료 단가'!$B$6:$G$123,6,FALSE),0))))</f>
      </c>
      <c r="K324" s="75">
        <f>IF($D324="메뉴",ROUND($G324*$J324,1),IF($I324&gt;0,ROUND($G324/$I324*$J324,1),0))</f>
      </c>
      <c r="L324" s="54" t="s">
        <v>66</v>
      </c>
    </row>
    <row r="325" spans="1:12" x14ac:dyDescent="0.25">
      <c r="A325" s="77" t="s">
        <v>80</v>
      </c>
      <c r="B325" s="36" t="s">
        <v>148</v>
      </c>
      <c r="C325" s="63">
        <v>1</v>
      </c>
      <c r="D325" s="78" t="s">
        <v>204</v>
      </c>
      <c r="E325" s="49" t="s">
        <v>365</v>
      </c>
      <c r="F325" s="77" t="s">
        <v>66</v>
      </c>
      <c r="G325" s="72">
        <v>70</v>
      </c>
      <c r="H325" s="63" t="s">
        <v>207</v>
      </c>
      <c r="I325" s="73">
        <v>1</v>
      </c>
      <c r="J325" s="74">
        <f>IF($D325="무료",0,IF($D325="메뉴",0,IF($D325="프렙",IFERROR(VLOOKUP($E325,'② 프렙 원가'!$B$6:$F$16,5,FALSE),0),IFERROR(VLOOKUP($E325,'① 식재료 단가'!$B$6:$G$123,6,FALSE),0))))</f>
      </c>
      <c r="K325" s="75">
        <f>IF($D325="메뉴",ROUND($G325*$J325,1),IF($I325&gt;0,ROUND($G325/$I325*$J325,1),0))</f>
      </c>
      <c r="L325" s="64" t="s">
        <v>366</v>
      </c>
    </row>
    <row r="326" spans="1:12" x14ac:dyDescent="0.25">
      <c r="A326" s="77" t="s">
        <v>80</v>
      </c>
      <c r="B326" s="36" t="s">
        <v>148</v>
      </c>
      <c r="C326" s="63">
        <v>2</v>
      </c>
      <c r="D326" s="78" t="s">
        <v>204</v>
      </c>
      <c r="E326" s="49" t="s">
        <v>306</v>
      </c>
      <c r="F326" s="77" t="s">
        <v>66</v>
      </c>
      <c r="G326" s="72">
        <v>40</v>
      </c>
      <c r="H326" s="63" t="s">
        <v>207</v>
      </c>
      <c r="I326" s="73">
        <v>1</v>
      </c>
      <c r="J326" s="74">
        <f>IF($D326="무료",0,IF($D326="메뉴",0,IF($D326="프렙",IFERROR(VLOOKUP($E326,'② 프렙 원가'!$B$6:$F$16,5,FALSE),0),IFERROR(VLOOKUP($E326,'① 식재료 단가'!$B$6:$G$123,6,FALSE),0))))</f>
      </c>
      <c r="K326" s="75">
        <f>IF($D326="메뉴",ROUND($G326*$J326,1),IF($I326&gt;0,ROUND($G326/$I326*$J326,1),0))</f>
      </c>
      <c r="L326" s="64" t="s">
        <v>307</v>
      </c>
    </row>
    <row r="327" spans="1:12" x14ac:dyDescent="0.25">
      <c r="A327" s="77" t="s">
        <v>80</v>
      </c>
      <c r="B327" s="36" t="s">
        <v>148</v>
      </c>
      <c r="C327" s="63">
        <v>3</v>
      </c>
      <c r="D327" s="78" t="s">
        <v>204</v>
      </c>
      <c r="E327" s="49" t="s">
        <v>245</v>
      </c>
      <c r="F327" s="77" t="s">
        <v>66</v>
      </c>
      <c r="G327" s="72">
        <v>10</v>
      </c>
      <c r="H327" s="63" t="s">
        <v>207</v>
      </c>
      <c r="I327" s="73">
        <v>1</v>
      </c>
      <c r="J327" s="74">
        <f>IF($D327="무료",0,IF($D327="메뉴",0,IF($D327="프렙",IFERROR(VLOOKUP($E327,'② 프렙 원가'!$B$6:$F$16,5,FALSE),0),IFERROR(VLOOKUP($E327,'① 식재료 단가'!$B$6:$G$123,6,FALSE),0))))</f>
      </c>
      <c r="K327" s="75">
        <f>IF($D327="메뉴",ROUND($G327*$J327,1),IF($I327&gt;0,ROUND($G327/$I327*$J327,1),0))</f>
      </c>
      <c r="L327" s="64" t="s">
        <v>66</v>
      </c>
    </row>
    <row r="328" spans="1:12" x14ac:dyDescent="0.25">
      <c r="A328" s="77" t="s">
        <v>80</v>
      </c>
      <c r="B328" s="36" t="s">
        <v>148</v>
      </c>
      <c r="C328" s="63">
        <v>4</v>
      </c>
      <c r="D328" s="78" t="s">
        <v>204</v>
      </c>
      <c r="E328" s="49" t="s">
        <v>275</v>
      </c>
      <c r="F328" s="77" t="s">
        <v>66</v>
      </c>
      <c r="G328" s="72">
        <v>10</v>
      </c>
      <c r="H328" s="63" t="s">
        <v>207</v>
      </c>
      <c r="I328" s="73">
        <v>1</v>
      </c>
      <c r="J328" s="74">
        <f>IF($D328="무료",0,IF($D328="메뉴",0,IF($D328="프렙",IFERROR(VLOOKUP($E328,'② 프렙 원가'!$B$6:$F$16,5,FALSE),0),IFERROR(VLOOKUP($E328,'① 식재료 단가'!$B$6:$G$123,6,FALSE),0))))</f>
      </c>
      <c r="K328" s="75">
        <f>IF($D328="메뉴",ROUND($G328*$J328,1),IF($I328&gt;0,ROUND($G328/$I328*$J328,1),0))</f>
      </c>
      <c r="L328" s="64" t="s">
        <v>66</v>
      </c>
    </row>
    <row r="329" spans="1:12" x14ac:dyDescent="0.25">
      <c r="A329" s="77" t="s">
        <v>80</v>
      </c>
      <c r="B329" s="36" t="s">
        <v>148</v>
      </c>
      <c r="C329" s="63">
        <v>5</v>
      </c>
      <c r="D329" s="78" t="s">
        <v>204</v>
      </c>
      <c r="E329" s="49" t="s">
        <v>283</v>
      </c>
      <c r="F329" s="77" t="s">
        <v>284</v>
      </c>
      <c r="G329" s="72">
        <v>10</v>
      </c>
      <c r="H329" s="63" t="s">
        <v>207</v>
      </c>
      <c r="I329" s="73">
        <v>1</v>
      </c>
      <c r="J329" s="74">
        <f>IF($D329="무료",0,IF($D329="메뉴",0,IF($D329="프렙",IFERROR(VLOOKUP($E329,'② 프렙 원가'!$B$6:$F$16,5,FALSE),0),IFERROR(VLOOKUP($E329,'① 식재료 단가'!$B$6:$G$123,6,FALSE),0))))</f>
      </c>
      <c r="K329" s="75">
        <f>IF($D329="메뉴",ROUND($G329*$J329,1),IF($I329&gt;0,ROUND($G329/$I329*$J329,1),0))</f>
      </c>
      <c r="L329" s="64" t="s">
        <v>66</v>
      </c>
    </row>
    <row r="330" spans="1:12" x14ac:dyDescent="0.25">
      <c r="A330" s="77" t="s">
        <v>80</v>
      </c>
      <c r="B330" s="36" t="s">
        <v>148</v>
      </c>
      <c r="C330" s="63">
        <v>6</v>
      </c>
      <c r="D330" s="78" t="s">
        <v>204</v>
      </c>
      <c r="E330" s="49" t="s">
        <v>248</v>
      </c>
      <c r="F330" s="77" t="s">
        <v>66</v>
      </c>
      <c r="G330" s="72">
        <v>10</v>
      </c>
      <c r="H330" s="63" t="s">
        <v>207</v>
      </c>
      <c r="I330" s="73">
        <v>1</v>
      </c>
      <c r="J330" s="74">
        <f>IF($D330="무료",0,IF($D330="메뉴",0,IF($D330="프렙",IFERROR(VLOOKUP($E330,'② 프렙 원가'!$B$6:$F$16,5,FALSE),0),IFERROR(VLOOKUP($E330,'① 식재료 단가'!$B$6:$G$123,6,FALSE),0))))</f>
      </c>
      <c r="K330" s="75">
        <f>IF($D330="메뉴",ROUND($G330*$J330,1),IF($I330&gt;0,ROUND($G330/$I330*$J330,1),0))</f>
      </c>
      <c r="L330" s="64" t="s">
        <v>66</v>
      </c>
    </row>
    <row r="331" spans="1:12" x14ac:dyDescent="0.25">
      <c r="A331" s="77" t="s">
        <v>80</v>
      </c>
      <c r="B331" s="36" t="s">
        <v>148</v>
      </c>
      <c r="C331" s="63">
        <v>7</v>
      </c>
      <c r="D331" s="78" t="s">
        <v>204</v>
      </c>
      <c r="E331" s="49" t="s">
        <v>253</v>
      </c>
      <c r="F331" s="77" t="s">
        <v>269</v>
      </c>
      <c r="G331" s="72">
        <v>20</v>
      </c>
      <c r="H331" s="63" t="s">
        <v>207</v>
      </c>
      <c r="I331" s="73">
        <v>1</v>
      </c>
      <c r="J331" s="74">
        <f>IF($D331="무료",0,IF($D331="메뉴",0,IF($D331="프렙",IFERROR(VLOOKUP($E331,'② 프렙 원가'!$B$6:$F$16,5,FALSE),0),IFERROR(VLOOKUP($E331,'① 식재료 단가'!$B$6:$G$123,6,FALSE),0))))</f>
      </c>
      <c r="K331" s="75">
        <f>IF($D331="메뉴",ROUND($G331*$J331,1),IF($I331&gt;0,ROUND($G331/$I331*$J331,1),0))</f>
      </c>
      <c r="L331" s="64" t="s">
        <v>242</v>
      </c>
    </row>
    <row r="332" spans="1:12" x14ac:dyDescent="0.25">
      <c r="A332" s="77" t="s">
        <v>80</v>
      </c>
      <c r="B332" s="36" t="s">
        <v>148</v>
      </c>
      <c r="C332" s="63">
        <v>8</v>
      </c>
      <c r="D332" s="78" t="s">
        <v>204</v>
      </c>
      <c r="E332" s="49" t="s">
        <v>216</v>
      </c>
      <c r="F332" s="77" t="s">
        <v>66</v>
      </c>
      <c r="G332" s="72">
        <v>20</v>
      </c>
      <c r="H332" s="63" t="s">
        <v>207</v>
      </c>
      <c r="I332" s="73">
        <v>1</v>
      </c>
      <c r="J332" s="74">
        <f>IF($D332="무료",0,IF($D332="메뉴",0,IF($D332="프렙",IFERROR(VLOOKUP($E332,'② 프렙 원가'!$B$6:$F$16,5,FALSE),0),IFERROR(VLOOKUP($E332,'① 식재료 단가'!$B$6:$G$123,6,FALSE),0))))</f>
      </c>
      <c r="K332" s="75">
        <f>IF($D332="메뉴",ROUND($G332*$J332,1),IF($I332&gt;0,ROUND($G332/$I332*$J332,1),0))</f>
      </c>
      <c r="L332" s="64" t="s">
        <v>66</v>
      </c>
    </row>
    <row r="333" spans="1:12" x14ac:dyDescent="0.25">
      <c r="A333" s="77" t="s">
        <v>80</v>
      </c>
      <c r="B333" s="36" t="s">
        <v>148</v>
      </c>
      <c r="C333" s="63">
        <v>9</v>
      </c>
      <c r="D333" s="78" t="s">
        <v>204</v>
      </c>
      <c r="E333" s="49" t="s">
        <v>238</v>
      </c>
      <c r="F333" s="77" t="s">
        <v>66</v>
      </c>
      <c r="G333" s="72">
        <v>20</v>
      </c>
      <c r="H333" s="63" t="s">
        <v>207</v>
      </c>
      <c r="I333" s="73">
        <v>1</v>
      </c>
      <c r="J333" s="74">
        <f>IF($D333="무료",0,IF($D333="메뉴",0,IF($D333="프렙",IFERROR(VLOOKUP($E333,'② 프렙 원가'!$B$6:$F$16,5,FALSE),0),IFERROR(VLOOKUP($E333,'① 식재료 단가'!$B$6:$G$123,6,FALSE),0))))</f>
      </c>
      <c r="K333" s="75">
        <f>IF($D333="메뉴",ROUND($G333*$J333,1),IF($I333&gt;0,ROUND($G333/$I333*$J333,1),0))</f>
      </c>
      <c r="L333" s="64" t="s">
        <v>240</v>
      </c>
    </row>
    <row r="334" spans="1:12" x14ac:dyDescent="0.25">
      <c r="A334" s="70" t="s">
        <v>80</v>
      </c>
      <c r="B334" s="31" t="s">
        <v>149</v>
      </c>
      <c r="C334" s="53">
        <v>1</v>
      </c>
      <c r="D334" s="71" t="s">
        <v>204</v>
      </c>
      <c r="E334" s="44" t="s">
        <v>369</v>
      </c>
      <c r="F334" s="70" t="s">
        <v>370</v>
      </c>
      <c r="G334" s="72">
        <v>50</v>
      </c>
      <c r="H334" s="53" t="s">
        <v>207</v>
      </c>
      <c r="I334" s="73">
        <v>1</v>
      </c>
      <c r="J334" s="74">
        <f>IF($D334="무료",0,IF($D334="메뉴",0,IF($D334="프렙",IFERROR(VLOOKUP($E334,'② 프렙 원가'!$B$6:$F$16,5,FALSE),0),IFERROR(VLOOKUP($E334,'① 식재료 단가'!$B$6:$G$123,6,FALSE),0))))</f>
      </c>
      <c r="K334" s="75">
        <f>IF($D334="메뉴",ROUND($G334*$J334,1),IF($I334&gt;0,ROUND($G334/$I334*$J334,1),0))</f>
      </c>
      <c r="L334" s="54" t="s">
        <v>66</v>
      </c>
    </row>
    <row r="335" spans="1:12" x14ac:dyDescent="0.25">
      <c r="A335" s="70" t="s">
        <v>80</v>
      </c>
      <c r="B335" s="31" t="s">
        <v>149</v>
      </c>
      <c r="C335" s="53">
        <v>2</v>
      </c>
      <c r="D335" s="71" t="s">
        <v>204</v>
      </c>
      <c r="E335" s="44" t="s">
        <v>279</v>
      </c>
      <c r="F335" s="70" t="s">
        <v>66</v>
      </c>
      <c r="G335" s="72">
        <v>30</v>
      </c>
      <c r="H335" s="53" t="s">
        <v>207</v>
      </c>
      <c r="I335" s="73">
        <v>1</v>
      </c>
      <c r="J335" s="74">
        <f>IF($D335="무료",0,IF($D335="메뉴",0,IF($D335="프렙",IFERROR(VLOOKUP($E335,'② 프렙 원가'!$B$6:$F$16,5,FALSE),0),IFERROR(VLOOKUP($E335,'① 식재료 단가'!$B$6:$G$123,6,FALSE),0))))</f>
      </c>
      <c r="K335" s="75">
        <f>IF($D335="메뉴",ROUND($G335*$J335,1),IF($I335&gt;0,ROUND($G335/$I335*$J335,1),0))</f>
      </c>
      <c r="L335" s="54" t="s">
        <v>271</v>
      </c>
    </row>
    <row r="336" spans="1:12" x14ac:dyDescent="0.25">
      <c r="A336" s="70" t="s">
        <v>80</v>
      </c>
      <c r="B336" s="31" t="s">
        <v>149</v>
      </c>
      <c r="C336" s="53">
        <v>3</v>
      </c>
      <c r="D336" s="71" t="s">
        <v>204</v>
      </c>
      <c r="E336" s="44" t="s">
        <v>359</v>
      </c>
      <c r="F336" s="70" t="s">
        <v>66</v>
      </c>
      <c r="G336" s="72">
        <v>50</v>
      </c>
      <c r="H336" s="53" t="s">
        <v>207</v>
      </c>
      <c r="I336" s="73">
        <v>1</v>
      </c>
      <c r="J336" s="74">
        <f>IF($D336="무료",0,IF($D336="메뉴",0,IF($D336="프렙",IFERROR(VLOOKUP($E336,'② 프렙 원가'!$B$6:$F$16,5,FALSE),0),IFERROR(VLOOKUP($E336,'① 식재료 단가'!$B$6:$G$123,6,FALSE),0))))</f>
      </c>
      <c r="K336" s="75">
        <f>IF($D336="메뉴",ROUND($G336*$J336,1),IF($I336&gt;0,ROUND($G336/$I336*$J336,1),0))</f>
      </c>
      <c r="L336" s="54" t="s">
        <v>271</v>
      </c>
    </row>
    <row r="337" spans="1:12" x14ac:dyDescent="0.25">
      <c r="A337" s="70" t="s">
        <v>80</v>
      </c>
      <c r="B337" s="31" t="s">
        <v>149</v>
      </c>
      <c r="C337" s="53">
        <v>4</v>
      </c>
      <c r="D337" s="71" t="s">
        <v>204</v>
      </c>
      <c r="E337" s="44" t="s">
        <v>270</v>
      </c>
      <c r="F337" s="70" t="s">
        <v>66</v>
      </c>
      <c r="G337" s="72">
        <v>30</v>
      </c>
      <c r="H337" s="53" t="s">
        <v>207</v>
      </c>
      <c r="I337" s="73">
        <v>1</v>
      </c>
      <c r="J337" s="74">
        <f>IF($D337="무료",0,IF($D337="메뉴",0,IF($D337="프렙",IFERROR(VLOOKUP($E337,'② 프렙 원가'!$B$6:$F$16,5,FALSE),0),IFERROR(VLOOKUP($E337,'① 식재료 단가'!$B$6:$G$123,6,FALSE),0))))</f>
      </c>
      <c r="K337" s="75">
        <f>IF($D337="메뉴",ROUND($G337*$J337,1),IF($I337&gt;0,ROUND($G337/$I337*$J337,1),0))</f>
      </c>
      <c r="L337" s="54" t="s">
        <v>271</v>
      </c>
    </row>
    <row r="338" spans="1:12" x14ac:dyDescent="0.25">
      <c r="A338" s="70" t="s">
        <v>80</v>
      </c>
      <c r="B338" s="31" t="s">
        <v>149</v>
      </c>
      <c r="C338" s="53">
        <v>5</v>
      </c>
      <c r="D338" s="71" t="s">
        <v>204</v>
      </c>
      <c r="E338" s="44" t="s">
        <v>371</v>
      </c>
      <c r="F338" s="70" t="s">
        <v>372</v>
      </c>
      <c r="G338" s="72">
        <v>100</v>
      </c>
      <c r="H338" s="53" t="s">
        <v>207</v>
      </c>
      <c r="I338" s="73">
        <v>1</v>
      </c>
      <c r="J338" s="74">
        <f>IF($D338="무료",0,IF($D338="메뉴",0,IF($D338="프렙",IFERROR(VLOOKUP($E338,'② 프렙 원가'!$B$6:$F$16,5,FALSE),0),IFERROR(VLOOKUP($E338,'① 식재료 단가'!$B$6:$G$123,6,FALSE),0))))</f>
      </c>
      <c r="K338" s="75">
        <f>IF($D338="메뉴",ROUND($G338*$J338,1),IF($I338&gt;0,ROUND($G338/$I338*$J338,1),0))</f>
      </c>
      <c r="L338" s="54" t="s">
        <v>66</v>
      </c>
    </row>
    <row r="339" spans="1:12" x14ac:dyDescent="0.25">
      <c r="A339" s="70" t="s">
        <v>80</v>
      </c>
      <c r="B339" s="31" t="s">
        <v>149</v>
      </c>
      <c r="C339" s="53">
        <v>6</v>
      </c>
      <c r="D339" s="71" t="s">
        <v>204</v>
      </c>
      <c r="E339" s="44" t="s">
        <v>373</v>
      </c>
      <c r="F339" s="70" t="s">
        <v>66</v>
      </c>
      <c r="G339" s="72">
        <v>5</v>
      </c>
      <c r="H339" s="53" t="s">
        <v>207</v>
      </c>
      <c r="I339" s="73">
        <v>1</v>
      </c>
      <c r="J339" s="74">
        <f>IF($D339="무료",0,IF($D339="메뉴",0,IF($D339="프렙",IFERROR(VLOOKUP($E339,'② 프렙 원가'!$B$6:$F$16,5,FALSE),0),IFERROR(VLOOKUP($E339,'① 식재료 단가'!$B$6:$G$123,6,FALSE),0))))</f>
      </c>
      <c r="K339" s="75">
        <f>IF($D339="메뉴",ROUND($G339*$J339,1),IF($I339&gt;0,ROUND($G339/$I339*$J339,1),0))</f>
      </c>
      <c r="L339" s="54" t="s">
        <v>66</v>
      </c>
    </row>
    <row r="340" spans="1:12" x14ac:dyDescent="0.25">
      <c r="A340" s="70" t="s">
        <v>80</v>
      </c>
      <c r="B340" s="31" t="s">
        <v>149</v>
      </c>
      <c r="C340" s="53">
        <v>7</v>
      </c>
      <c r="D340" s="71" t="s">
        <v>204</v>
      </c>
      <c r="E340" s="44" t="s">
        <v>248</v>
      </c>
      <c r="F340" s="70" t="s">
        <v>66</v>
      </c>
      <c r="G340" s="72">
        <v>10</v>
      </c>
      <c r="H340" s="53" t="s">
        <v>207</v>
      </c>
      <c r="I340" s="73">
        <v>1</v>
      </c>
      <c r="J340" s="74">
        <f>IF($D340="무료",0,IF($D340="메뉴",0,IF($D340="프렙",IFERROR(VLOOKUP($E340,'② 프렙 원가'!$B$6:$F$16,5,FALSE),0),IFERROR(VLOOKUP($E340,'① 식재료 단가'!$B$6:$G$123,6,FALSE),0))))</f>
      </c>
      <c r="K340" s="75">
        <f>IF($D340="메뉴",ROUND($G340*$J340,1),IF($I340&gt;0,ROUND($G340/$I340*$J340,1),0))</f>
      </c>
      <c r="L340" s="54" t="s">
        <v>66</v>
      </c>
    </row>
    <row r="341" spans="1:12" x14ac:dyDescent="0.25">
      <c r="A341" s="70" t="s">
        <v>80</v>
      </c>
      <c r="B341" s="31" t="s">
        <v>149</v>
      </c>
      <c r="C341" s="53">
        <v>8</v>
      </c>
      <c r="D341" s="71" t="s">
        <v>204</v>
      </c>
      <c r="E341" s="44" t="s">
        <v>216</v>
      </c>
      <c r="F341" s="70" t="s">
        <v>66</v>
      </c>
      <c r="G341" s="72">
        <v>5</v>
      </c>
      <c r="H341" s="53" t="s">
        <v>207</v>
      </c>
      <c r="I341" s="73">
        <v>1</v>
      </c>
      <c r="J341" s="74">
        <f>IF($D341="무료",0,IF($D341="메뉴",0,IF($D341="프렙",IFERROR(VLOOKUP($E341,'② 프렙 원가'!$B$6:$F$16,5,FALSE),0),IFERROR(VLOOKUP($E341,'① 식재료 단가'!$B$6:$G$123,6,FALSE),0))))</f>
      </c>
      <c r="K341" s="75">
        <f>IF($D341="메뉴",ROUND($G341*$J341,1),IF($I341&gt;0,ROUND($G341/$I341*$J341,1),0))</f>
      </c>
      <c r="L341" s="54" t="s">
        <v>66</v>
      </c>
    </row>
    <row r="342" spans="1:12" x14ac:dyDescent="0.25">
      <c r="A342" s="70" t="s">
        <v>80</v>
      </c>
      <c r="B342" s="31" t="s">
        <v>149</v>
      </c>
      <c r="C342" s="53">
        <v>9</v>
      </c>
      <c r="D342" s="71" t="s">
        <v>204</v>
      </c>
      <c r="E342" s="44" t="s">
        <v>238</v>
      </c>
      <c r="F342" s="70" t="s">
        <v>66</v>
      </c>
      <c r="G342" s="72">
        <v>20</v>
      </c>
      <c r="H342" s="53" t="s">
        <v>239</v>
      </c>
      <c r="I342" s="73">
        <v>1</v>
      </c>
      <c r="J342" s="74">
        <f>IF($D342="무료",0,IF($D342="메뉴",0,IF($D342="프렙",IFERROR(VLOOKUP($E342,'② 프렙 원가'!$B$6:$F$16,5,FALSE),0),IFERROR(VLOOKUP($E342,'① 식재료 단가'!$B$6:$G$123,6,FALSE),0))))</f>
      </c>
      <c r="K342" s="75">
        <f>IF($D342="메뉴",ROUND($G342*$J342,1),IF($I342&gt;0,ROUND($G342/$I342*$J342,1),0))</f>
      </c>
      <c r="L342" s="54" t="s">
        <v>240</v>
      </c>
    </row>
    <row r="343" spans="1:12" x14ac:dyDescent="0.25">
      <c r="A343" s="77" t="s">
        <v>80</v>
      </c>
      <c r="B343" s="36" t="s">
        <v>150</v>
      </c>
      <c r="C343" s="63">
        <v>1</v>
      </c>
      <c r="D343" s="78" t="s">
        <v>204</v>
      </c>
      <c r="E343" s="49" t="s">
        <v>306</v>
      </c>
      <c r="F343" s="77" t="s">
        <v>66</v>
      </c>
      <c r="G343" s="72">
        <v>150</v>
      </c>
      <c r="H343" s="63" t="s">
        <v>207</v>
      </c>
      <c r="I343" s="73">
        <v>1</v>
      </c>
      <c r="J343" s="74">
        <f>IF($D343="무료",0,IF($D343="메뉴",0,IF($D343="프렙",IFERROR(VLOOKUP($E343,'② 프렙 원가'!$B$6:$F$16,5,FALSE),0),IFERROR(VLOOKUP($E343,'① 식재료 단가'!$B$6:$G$123,6,FALSE),0))))</f>
      </c>
      <c r="K343" s="75">
        <f>IF($D343="메뉴",ROUND($G343*$J343,1),IF($I343&gt;0,ROUND($G343/$I343*$J343,1),0))</f>
      </c>
      <c r="L343" s="64" t="s">
        <v>374</v>
      </c>
    </row>
    <row r="344" spans="1:12" x14ac:dyDescent="0.25">
      <c r="A344" s="77" t="s">
        <v>80</v>
      </c>
      <c r="B344" s="36" t="s">
        <v>150</v>
      </c>
      <c r="C344" s="63">
        <v>2</v>
      </c>
      <c r="D344" s="78" t="s">
        <v>204</v>
      </c>
      <c r="E344" s="49" t="s">
        <v>279</v>
      </c>
      <c r="F344" s="77" t="s">
        <v>66</v>
      </c>
      <c r="G344" s="72">
        <v>30</v>
      </c>
      <c r="H344" s="63" t="s">
        <v>207</v>
      </c>
      <c r="I344" s="73">
        <v>1</v>
      </c>
      <c r="J344" s="74">
        <f>IF($D344="무료",0,IF($D344="메뉴",0,IF($D344="프렙",IFERROR(VLOOKUP($E344,'② 프렙 원가'!$B$6:$F$16,5,FALSE),0),IFERROR(VLOOKUP($E344,'① 식재료 단가'!$B$6:$G$123,6,FALSE),0))))</f>
      </c>
      <c r="K344" s="75">
        <f>IF($D344="메뉴",ROUND($G344*$J344,1),IF($I344&gt;0,ROUND($G344/$I344*$J344,1),0))</f>
      </c>
      <c r="L344" s="64" t="s">
        <v>242</v>
      </c>
    </row>
    <row r="345" spans="1:12" x14ac:dyDescent="0.25">
      <c r="A345" s="77" t="s">
        <v>80</v>
      </c>
      <c r="B345" s="36" t="s">
        <v>150</v>
      </c>
      <c r="C345" s="63">
        <v>3</v>
      </c>
      <c r="D345" s="78" t="s">
        <v>204</v>
      </c>
      <c r="E345" s="49" t="s">
        <v>243</v>
      </c>
      <c r="F345" s="77" t="s">
        <v>66</v>
      </c>
      <c r="G345" s="72">
        <v>20</v>
      </c>
      <c r="H345" s="63" t="s">
        <v>207</v>
      </c>
      <c r="I345" s="73">
        <v>1</v>
      </c>
      <c r="J345" s="74">
        <f>IF($D345="무료",0,IF($D345="메뉴",0,IF($D345="프렙",IFERROR(VLOOKUP($E345,'② 프렙 원가'!$B$6:$F$16,5,FALSE),0),IFERROR(VLOOKUP($E345,'① 식재료 단가'!$B$6:$G$123,6,FALSE),0))))</f>
      </c>
      <c r="K345" s="75">
        <f>IF($D345="메뉴",ROUND($G345*$J345,1),IF($I345&gt;0,ROUND($G345/$I345*$J345,1),0))</f>
      </c>
      <c r="L345" s="64" t="s">
        <v>242</v>
      </c>
    </row>
    <row r="346" spans="1:12" x14ac:dyDescent="0.25">
      <c r="A346" s="77" t="s">
        <v>80</v>
      </c>
      <c r="B346" s="36" t="s">
        <v>150</v>
      </c>
      <c r="C346" s="63">
        <v>4</v>
      </c>
      <c r="D346" s="78" t="s">
        <v>204</v>
      </c>
      <c r="E346" s="49" t="s">
        <v>246</v>
      </c>
      <c r="F346" s="77" t="s">
        <v>247</v>
      </c>
      <c r="G346" s="72">
        <v>20</v>
      </c>
      <c r="H346" s="63" t="s">
        <v>207</v>
      </c>
      <c r="I346" s="73">
        <v>1</v>
      </c>
      <c r="J346" s="74">
        <f>IF($D346="무료",0,IF($D346="메뉴",0,IF($D346="프렙",IFERROR(VLOOKUP($E346,'② 프렙 원가'!$B$6:$F$16,5,FALSE),0),IFERROR(VLOOKUP($E346,'① 식재료 단가'!$B$6:$G$123,6,FALSE),0))))</f>
      </c>
      <c r="K346" s="75">
        <f>IF($D346="메뉴",ROUND($G346*$J346,1),IF($I346&gt;0,ROUND($G346/$I346*$J346,1),0))</f>
      </c>
      <c r="L346" s="64" t="s">
        <v>66</v>
      </c>
    </row>
    <row r="347" spans="1:12" x14ac:dyDescent="0.25">
      <c r="A347" s="77" t="s">
        <v>80</v>
      </c>
      <c r="B347" s="36" t="s">
        <v>150</v>
      </c>
      <c r="C347" s="63">
        <v>5</v>
      </c>
      <c r="D347" s="78" t="s">
        <v>204</v>
      </c>
      <c r="E347" s="49" t="s">
        <v>275</v>
      </c>
      <c r="F347" s="77" t="s">
        <v>66</v>
      </c>
      <c r="G347" s="72">
        <v>15</v>
      </c>
      <c r="H347" s="63" t="s">
        <v>207</v>
      </c>
      <c r="I347" s="73">
        <v>1</v>
      </c>
      <c r="J347" s="74">
        <f>IF($D347="무료",0,IF($D347="메뉴",0,IF($D347="프렙",IFERROR(VLOOKUP($E347,'② 프렙 원가'!$B$6:$F$16,5,FALSE),0),IFERROR(VLOOKUP($E347,'① 식재료 단가'!$B$6:$G$123,6,FALSE),0))))</f>
      </c>
      <c r="K347" s="75">
        <f>IF($D347="메뉴",ROUND($G347*$J347,1),IF($I347&gt;0,ROUND($G347/$I347*$J347,1),0))</f>
      </c>
      <c r="L347" s="64" t="s">
        <v>66</v>
      </c>
    </row>
    <row r="348" spans="1:12" x14ac:dyDescent="0.25">
      <c r="A348" s="77" t="s">
        <v>80</v>
      </c>
      <c r="B348" s="36" t="s">
        <v>150</v>
      </c>
      <c r="C348" s="63">
        <v>6</v>
      </c>
      <c r="D348" s="78" t="s">
        <v>204</v>
      </c>
      <c r="E348" s="49" t="s">
        <v>327</v>
      </c>
      <c r="F348" s="77" t="s">
        <v>66</v>
      </c>
      <c r="G348" s="72">
        <v>5</v>
      </c>
      <c r="H348" s="63" t="s">
        <v>207</v>
      </c>
      <c r="I348" s="73">
        <v>1</v>
      </c>
      <c r="J348" s="74">
        <f>IF($D348="무료",0,IF($D348="메뉴",0,IF($D348="프렙",IFERROR(VLOOKUP($E348,'② 프렙 원가'!$B$6:$F$16,5,FALSE),0),IFERROR(VLOOKUP($E348,'① 식재료 단가'!$B$6:$G$123,6,FALSE),0))))</f>
      </c>
      <c r="K348" s="75">
        <f>IF($D348="메뉴",ROUND($G348*$J348,1),IF($I348&gt;0,ROUND($G348/$I348*$J348,1),0))</f>
      </c>
      <c r="L348" s="64" t="s">
        <v>66</v>
      </c>
    </row>
    <row r="349" spans="1:12" x14ac:dyDescent="0.25">
      <c r="A349" s="77" t="s">
        <v>80</v>
      </c>
      <c r="B349" s="36" t="s">
        <v>150</v>
      </c>
      <c r="C349" s="63">
        <v>7</v>
      </c>
      <c r="D349" s="78" t="s">
        <v>204</v>
      </c>
      <c r="E349" s="49" t="s">
        <v>301</v>
      </c>
      <c r="F349" s="77" t="s">
        <v>66</v>
      </c>
      <c r="G349" s="72">
        <v>5</v>
      </c>
      <c r="H349" s="63" t="s">
        <v>207</v>
      </c>
      <c r="I349" s="73">
        <v>1</v>
      </c>
      <c r="J349" s="74">
        <f>IF($D349="무료",0,IF($D349="메뉴",0,IF($D349="프렙",IFERROR(VLOOKUP($E349,'② 프렙 원가'!$B$6:$F$16,5,FALSE),0),IFERROR(VLOOKUP($E349,'① 식재료 단가'!$B$6:$G$123,6,FALSE),0))))</f>
      </c>
      <c r="K349" s="75">
        <f>IF($D349="메뉴",ROUND($G349*$J349,1),IF($I349&gt;0,ROUND($G349/$I349*$J349,1),0))</f>
      </c>
      <c r="L349" s="64" t="s">
        <v>66</v>
      </c>
    </row>
    <row r="350" spans="1:12" x14ac:dyDescent="0.25">
      <c r="A350" s="77" t="s">
        <v>80</v>
      </c>
      <c r="B350" s="36" t="s">
        <v>150</v>
      </c>
      <c r="C350" s="63">
        <v>8</v>
      </c>
      <c r="D350" s="78" t="s">
        <v>204</v>
      </c>
      <c r="E350" s="49" t="s">
        <v>276</v>
      </c>
      <c r="F350" s="77" t="s">
        <v>277</v>
      </c>
      <c r="G350" s="72">
        <v>5</v>
      </c>
      <c r="H350" s="63" t="s">
        <v>207</v>
      </c>
      <c r="I350" s="73">
        <v>1</v>
      </c>
      <c r="J350" s="74">
        <f>IF($D350="무료",0,IF($D350="메뉴",0,IF($D350="프렙",IFERROR(VLOOKUP($E350,'② 프렙 원가'!$B$6:$F$16,5,FALSE),0),IFERROR(VLOOKUP($E350,'① 식재료 단가'!$B$6:$G$123,6,FALSE),0))))</f>
      </c>
      <c r="K350" s="75">
        <f>IF($D350="메뉴",ROUND($G350*$J350,1),IF($I350&gt;0,ROUND($G350/$I350*$J350,1),0))</f>
      </c>
      <c r="L350" s="64" t="s">
        <v>66</v>
      </c>
    </row>
    <row r="351" spans="1:12" x14ac:dyDescent="0.25">
      <c r="A351" s="77" t="s">
        <v>80</v>
      </c>
      <c r="B351" s="36" t="s">
        <v>150</v>
      </c>
      <c r="C351" s="63">
        <v>9</v>
      </c>
      <c r="D351" s="78" t="s">
        <v>204</v>
      </c>
      <c r="E351" s="49" t="s">
        <v>251</v>
      </c>
      <c r="F351" s="77" t="s">
        <v>66</v>
      </c>
      <c r="G351" s="72">
        <v>30</v>
      </c>
      <c r="H351" s="63" t="s">
        <v>207</v>
      </c>
      <c r="I351" s="73">
        <v>1</v>
      </c>
      <c r="J351" s="74">
        <f>IF($D351="무료",0,IF($D351="메뉴",0,IF($D351="프렙",IFERROR(VLOOKUP($E351,'② 프렙 원가'!$B$6:$F$16,5,FALSE),0),IFERROR(VLOOKUP($E351,'① 식재료 단가'!$B$6:$G$123,6,FALSE),0))))</f>
      </c>
      <c r="K351" s="75">
        <f>IF($D351="메뉴",ROUND($G351*$J351,1),IF($I351&gt;0,ROUND($G351/$I351*$J351,1),0))</f>
      </c>
      <c r="L351" s="64" t="s">
        <v>66</v>
      </c>
    </row>
    <row r="352" spans="1:12" x14ac:dyDescent="0.25">
      <c r="A352" s="77" t="s">
        <v>80</v>
      </c>
      <c r="B352" s="36" t="s">
        <v>150</v>
      </c>
      <c r="C352" s="63">
        <v>10</v>
      </c>
      <c r="D352" s="78" t="s">
        <v>204</v>
      </c>
      <c r="E352" s="49" t="s">
        <v>216</v>
      </c>
      <c r="F352" s="77" t="s">
        <v>66</v>
      </c>
      <c r="G352" s="72">
        <v>10</v>
      </c>
      <c r="H352" s="63" t="s">
        <v>207</v>
      </c>
      <c r="I352" s="73">
        <v>1</v>
      </c>
      <c r="J352" s="74">
        <f>IF($D352="무료",0,IF($D352="메뉴",0,IF($D352="프렙",IFERROR(VLOOKUP($E352,'② 프렙 원가'!$B$6:$F$16,5,FALSE),0),IFERROR(VLOOKUP($E352,'① 식재료 단가'!$B$6:$G$123,6,FALSE),0))))</f>
      </c>
      <c r="K352" s="75">
        <f>IF($D352="메뉴",ROUND($G352*$J352,1),IF($I352&gt;0,ROUND($G352/$I352*$J352,1),0))</f>
      </c>
      <c r="L352" s="64" t="s">
        <v>66</v>
      </c>
    </row>
    <row r="353" spans="1:12" x14ac:dyDescent="0.25">
      <c r="A353" s="77" t="s">
        <v>80</v>
      </c>
      <c r="B353" s="36" t="s">
        <v>150</v>
      </c>
      <c r="C353" s="63">
        <v>11</v>
      </c>
      <c r="D353" s="78" t="s">
        <v>204</v>
      </c>
      <c r="E353" s="49" t="s">
        <v>238</v>
      </c>
      <c r="F353" s="77" t="s">
        <v>66</v>
      </c>
      <c r="G353" s="72">
        <v>20</v>
      </c>
      <c r="H353" s="63" t="s">
        <v>207</v>
      </c>
      <c r="I353" s="73">
        <v>1</v>
      </c>
      <c r="J353" s="74">
        <f>IF($D353="무료",0,IF($D353="메뉴",0,IF($D353="프렙",IFERROR(VLOOKUP($E353,'② 프렙 원가'!$B$6:$F$16,5,FALSE),0),IFERROR(VLOOKUP($E353,'① 식재료 단가'!$B$6:$G$123,6,FALSE),0))))</f>
      </c>
      <c r="K353" s="75">
        <f>IF($D353="메뉴",ROUND($G353*$J353,1),IF($I353&gt;0,ROUND($G353/$I353*$J353,1),0))</f>
      </c>
      <c r="L353" s="64" t="s">
        <v>66</v>
      </c>
    </row>
    <row r="354" spans="1:12" x14ac:dyDescent="0.25">
      <c r="A354" s="70" t="s">
        <v>80</v>
      </c>
      <c r="B354" s="31" t="s">
        <v>151</v>
      </c>
      <c r="C354" s="53">
        <v>1</v>
      </c>
      <c r="D354" s="71" t="s">
        <v>204</v>
      </c>
      <c r="E354" s="44" t="s">
        <v>365</v>
      </c>
      <c r="F354" s="70" t="s">
        <v>66</v>
      </c>
      <c r="G354" s="72">
        <v>200</v>
      </c>
      <c r="H354" s="53" t="s">
        <v>207</v>
      </c>
      <c r="I354" s="73">
        <v>1</v>
      </c>
      <c r="J354" s="74">
        <f>IF($D354="무료",0,IF($D354="메뉴",0,IF($D354="프렙",IFERROR(VLOOKUP($E354,'② 프렙 원가'!$B$6:$F$16,5,FALSE),0),IFERROR(VLOOKUP($E354,'① 식재료 단가'!$B$6:$G$123,6,FALSE),0))))</f>
      </c>
      <c r="K354" s="75">
        <f>IF($D354="메뉴",ROUND($G354*$J354,1),IF($I354&gt;0,ROUND($G354/$I354*$J354,1),0))</f>
      </c>
      <c r="L354" s="54" t="s">
        <v>366</v>
      </c>
    </row>
    <row r="355" spans="1:12" x14ac:dyDescent="0.25">
      <c r="A355" s="70" t="s">
        <v>80</v>
      </c>
      <c r="B355" s="31" t="s">
        <v>151</v>
      </c>
      <c r="C355" s="53">
        <v>2</v>
      </c>
      <c r="D355" s="71" t="s">
        <v>204</v>
      </c>
      <c r="E355" s="44" t="s">
        <v>338</v>
      </c>
      <c r="F355" s="70" t="s">
        <v>367</v>
      </c>
      <c r="G355" s="72">
        <v>100</v>
      </c>
      <c r="H355" s="53" t="s">
        <v>207</v>
      </c>
      <c r="I355" s="73">
        <v>1</v>
      </c>
      <c r="J355" s="74">
        <f>IF($D355="무료",0,IF($D355="메뉴",0,IF($D355="프렙",IFERROR(VLOOKUP($E355,'② 프렙 원가'!$B$6:$F$16,5,FALSE),0),IFERROR(VLOOKUP($E355,'① 식재료 단가'!$B$6:$G$123,6,FALSE),0))))</f>
      </c>
      <c r="K355" s="75">
        <f>IF($D355="메뉴",ROUND($G355*$J355,1),IF($I355&gt;0,ROUND($G355/$I355*$J355,1),0))</f>
      </c>
      <c r="L355" s="54" t="s">
        <v>242</v>
      </c>
    </row>
    <row r="356" spans="1:12" x14ac:dyDescent="0.25">
      <c r="A356" s="70" t="s">
        <v>80</v>
      </c>
      <c r="B356" s="31" t="s">
        <v>151</v>
      </c>
      <c r="C356" s="53">
        <v>3</v>
      </c>
      <c r="D356" s="71" t="s">
        <v>204</v>
      </c>
      <c r="E356" s="44" t="s">
        <v>241</v>
      </c>
      <c r="F356" s="70" t="s">
        <v>66</v>
      </c>
      <c r="G356" s="72">
        <v>30</v>
      </c>
      <c r="H356" s="53" t="s">
        <v>207</v>
      </c>
      <c r="I356" s="73">
        <v>1</v>
      </c>
      <c r="J356" s="74">
        <f>IF($D356="무료",0,IF($D356="메뉴",0,IF($D356="프렙",IFERROR(VLOOKUP($E356,'② 프렙 원가'!$B$6:$F$16,5,FALSE),0),IFERROR(VLOOKUP($E356,'① 식재료 단가'!$B$6:$G$123,6,FALSE),0))))</f>
      </c>
      <c r="K356" s="75">
        <f>IF($D356="메뉴",ROUND($G356*$J356,1),IF($I356&gt;0,ROUND($G356/$I356*$J356,1),0))</f>
      </c>
      <c r="L356" s="54" t="s">
        <v>375</v>
      </c>
    </row>
    <row r="357" spans="1:12" x14ac:dyDescent="0.25">
      <c r="A357" s="70" t="s">
        <v>80</v>
      </c>
      <c r="B357" s="31" t="s">
        <v>151</v>
      </c>
      <c r="C357" s="53">
        <v>4</v>
      </c>
      <c r="D357" s="71" t="s">
        <v>204</v>
      </c>
      <c r="E357" s="44" t="s">
        <v>279</v>
      </c>
      <c r="F357" s="70" t="s">
        <v>66</v>
      </c>
      <c r="G357" s="72">
        <v>20</v>
      </c>
      <c r="H357" s="53" t="s">
        <v>207</v>
      </c>
      <c r="I357" s="73">
        <v>1</v>
      </c>
      <c r="J357" s="74">
        <f>IF($D357="무료",0,IF($D357="메뉴",0,IF($D357="프렙",IFERROR(VLOOKUP($E357,'② 프렙 원가'!$B$6:$F$16,5,FALSE),0),IFERROR(VLOOKUP($E357,'① 식재료 단가'!$B$6:$G$123,6,FALSE),0))))</f>
      </c>
      <c r="K357" s="75">
        <f>IF($D357="메뉴",ROUND($G357*$J357,1),IF($I357&gt;0,ROUND($G357/$I357*$J357,1),0))</f>
      </c>
      <c r="L357" s="54" t="s">
        <v>66</v>
      </c>
    </row>
    <row r="358" spans="1:12" x14ac:dyDescent="0.25">
      <c r="A358" s="70" t="s">
        <v>80</v>
      </c>
      <c r="B358" s="31" t="s">
        <v>151</v>
      </c>
      <c r="C358" s="53">
        <v>5</v>
      </c>
      <c r="D358" s="71" t="s">
        <v>204</v>
      </c>
      <c r="E358" s="44" t="s">
        <v>327</v>
      </c>
      <c r="F358" s="70" t="s">
        <v>66</v>
      </c>
      <c r="G358" s="72">
        <v>10</v>
      </c>
      <c r="H358" s="53" t="s">
        <v>207</v>
      </c>
      <c r="I358" s="73">
        <v>1</v>
      </c>
      <c r="J358" s="74">
        <f>IF($D358="무료",0,IF($D358="메뉴",0,IF($D358="프렙",IFERROR(VLOOKUP($E358,'② 프렙 원가'!$B$6:$F$16,5,FALSE),0),IFERROR(VLOOKUP($E358,'① 식재료 단가'!$B$6:$G$123,6,FALSE),0))))</f>
      </c>
      <c r="K358" s="75">
        <f>IF($D358="메뉴",ROUND($G358*$J358,1),IF($I358&gt;0,ROUND($G358/$I358*$J358,1),0))</f>
      </c>
      <c r="L358" s="54" t="s">
        <v>66</v>
      </c>
    </row>
    <row r="359" spans="1:12" x14ac:dyDescent="0.25">
      <c r="A359" s="70" t="s">
        <v>80</v>
      </c>
      <c r="B359" s="31" t="s">
        <v>151</v>
      </c>
      <c r="C359" s="53">
        <v>6</v>
      </c>
      <c r="D359" s="71" t="s">
        <v>204</v>
      </c>
      <c r="E359" s="44" t="s">
        <v>343</v>
      </c>
      <c r="F359" s="70" t="s">
        <v>344</v>
      </c>
      <c r="G359" s="72">
        <v>10</v>
      </c>
      <c r="H359" s="53" t="s">
        <v>207</v>
      </c>
      <c r="I359" s="73">
        <v>1</v>
      </c>
      <c r="J359" s="74">
        <f>IF($D359="무료",0,IF($D359="메뉴",0,IF($D359="프렙",IFERROR(VLOOKUP($E359,'② 프렙 원가'!$B$6:$F$16,5,FALSE),0),IFERROR(VLOOKUP($E359,'① 식재료 단가'!$B$6:$G$123,6,FALSE),0))))</f>
      </c>
      <c r="K359" s="75">
        <f>IF($D359="메뉴",ROUND($G359*$J359,1),IF($I359&gt;0,ROUND($G359/$I359*$J359,1),0))</f>
      </c>
      <c r="L359" s="54" t="s">
        <v>66</v>
      </c>
    </row>
    <row r="360" spans="1:12" x14ac:dyDescent="0.25">
      <c r="A360" s="70" t="s">
        <v>80</v>
      </c>
      <c r="B360" s="31" t="s">
        <v>151</v>
      </c>
      <c r="C360" s="53">
        <v>7</v>
      </c>
      <c r="D360" s="71" t="s">
        <v>204</v>
      </c>
      <c r="E360" s="44" t="s">
        <v>246</v>
      </c>
      <c r="F360" s="70" t="s">
        <v>247</v>
      </c>
      <c r="G360" s="72">
        <v>10</v>
      </c>
      <c r="H360" s="53" t="s">
        <v>207</v>
      </c>
      <c r="I360" s="73">
        <v>1</v>
      </c>
      <c r="J360" s="74">
        <f>IF($D360="무료",0,IF($D360="메뉴",0,IF($D360="프렙",IFERROR(VLOOKUP($E360,'② 프렙 원가'!$B$6:$F$16,5,FALSE),0),IFERROR(VLOOKUP($E360,'① 식재료 단가'!$B$6:$G$123,6,FALSE),0))))</f>
      </c>
      <c r="K360" s="75">
        <f>IF($D360="메뉴",ROUND($G360*$J360,1),IF($I360&gt;0,ROUND($G360/$I360*$J360,1),0))</f>
      </c>
      <c r="L360" s="54" t="s">
        <v>376</v>
      </c>
    </row>
    <row r="361" spans="1:12" x14ac:dyDescent="0.25">
      <c r="A361" s="70" t="s">
        <v>80</v>
      </c>
      <c r="B361" s="31" t="s">
        <v>151</v>
      </c>
      <c r="C361" s="53">
        <v>8</v>
      </c>
      <c r="D361" s="71" t="s">
        <v>204</v>
      </c>
      <c r="E361" s="44" t="s">
        <v>216</v>
      </c>
      <c r="F361" s="70" t="s">
        <v>66</v>
      </c>
      <c r="G361" s="72">
        <v>10</v>
      </c>
      <c r="H361" s="53" t="s">
        <v>207</v>
      </c>
      <c r="I361" s="73">
        <v>1</v>
      </c>
      <c r="J361" s="74">
        <f>IF($D361="무료",0,IF($D361="메뉴",0,IF($D361="프렙",IFERROR(VLOOKUP($E361,'② 프렙 원가'!$B$6:$F$16,5,FALSE),0),IFERROR(VLOOKUP($E361,'① 식재료 단가'!$B$6:$G$123,6,FALSE),0))))</f>
      </c>
      <c r="K361" s="75">
        <f>IF($D361="메뉴",ROUND($G361*$J361,1),IF($I361&gt;0,ROUND($G361/$I361*$J361,1),0))</f>
      </c>
      <c r="L361" s="54" t="s">
        <v>66</v>
      </c>
    </row>
    <row r="362" spans="1:12" x14ac:dyDescent="0.25">
      <c r="A362" s="70" t="s">
        <v>80</v>
      </c>
      <c r="B362" s="31" t="s">
        <v>151</v>
      </c>
      <c r="C362" s="53">
        <v>9</v>
      </c>
      <c r="D362" s="71" t="s">
        <v>204</v>
      </c>
      <c r="E362" s="44" t="s">
        <v>253</v>
      </c>
      <c r="F362" s="70" t="s">
        <v>269</v>
      </c>
      <c r="G362" s="72">
        <v>10</v>
      </c>
      <c r="H362" s="53" t="s">
        <v>207</v>
      </c>
      <c r="I362" s="73">
        <v>1</v>
      </c>
      <c r="J362" s="74">
        <f>IF($D362="무료",0,IF($D362="메뉴",0,IF($D362="프렙",IFERROR(VLOOKUP($E362,'② 프렙 원가'!$B$6:$F$16,5,FALSE),0),IFERROR(VLOOKUP($E362,'① 식재료 단가'!$B$6:$G$123,6,FALSE),0))))</f>
      </c>
      <c r="K362" s="75">
        <f>IF($D362="메뉴",ROUND($G362*$J362,1),IF($I362&gt;0,ROUND($G362/$I362*$J362,1),0))</f>
      </c>
      <c r="L362" s="54" t="s">
        <v>66</v>
      </c>
    </row>
    <row r="363" spans="1:12" x14ac:dyDescent="0.25">
      <c r="A363" s="77" t="s">
        <v>80</v>
      </c>
      <c r="B363" s="36" t="s">
        <v>152</v>
      </c>
      <c r="C363" s="63">
        <v>1</v>
      </c>
      <c r="D363" s="78" t="s">
        <v>204</v>
      </c>
      <c r="E363" s="49" t="s">
        <v>338</v>
      </c>
      <c r="F363" s="77" t="s">
        <v>339</v>
      </c>
      <c r="G363" s="72">
        <v>250</v>
      </c>
      <c r="H363" s="63" t="s">
        <v>207</v>
      </c>
      <c r="I363" s="73">
        <v>1</v>
      </c>
      <c r="J363" s="74">
        <f>IF($D363="무료",0,IF($D363="메뉴",0,IF($D363="프렙",IFERROR(VLOOKUP($E363,'② 프렙 원가'!$B$6:$F$16,5,FALSE),0),IFERROR(VLOOKUP($E363,'① 식재료 단가'!$B$6:$G$123,6,FALSE),0))))</f>
      </c>
      <c r="K363" s="75">
        <f>IF($D363="메뉴",ROUND($G363*$J363,1),IF($I363&gt;0,ROUND($G363/$I363*$J363,1),0))</f>
      </c>
      <c r="L363" s="64" t="s">
        <v>230</v>
      </c>
    </row>
    <row r="364" spans="1:12" x14ac:dyDescent="0.25">
      <c r="A364" s="77" t="s">
        <v>80</v>
      </c>
      <c r="B364" s="36" t="s">
        <v>152</v>
      </c>
      <c r="C364" s="63">
        <v>2</v>
      </c>
      <c r="D364" s="78" t="s">
        <v>204</v>
      </c>
      <c r="E364" s="49" t="s">
        <v>308</v>
      </c>
      <c r="F364" s="77" t="s">
        <v>66</v>
      </c>
      <c r="G364" s="72">
        <v>30</v>
      </c>
      <c r="H364" s="63" t="s">
        <v>207</v>
      </c>
      <c r="I364" s="73">
        <v>1</v>
      </c>
      <c r="J364" s="74">
        <f>IF($D364="무료",0,IF($D364="메뉴",0,IF($D364="프렙",IFERROR(VLOOKUP($E364,'② 프렙 원가'!$B$6:$F$16,5,FALSE),0),IFERROR(VLOOKUP($E364,'① 식재료 단가'!$B$6:$G$123,6,FALSE),0))))</f>
      </c>
      <c r="K364" s="75">
        <f>IF($D364="메뉴",ROUND($G364*$J364,1),IF($I364&gt;0,ROUND($G364/$I364*$J364,1),0))</f>
      </c>
      <c r="L364" s="64" t="s">
        <v>377</v>
      </c>
    </row>
    <row r="365" spans="1:12" x14ac:dyDescent="0.25">
      <c r="A365" s="77" t="s">
        <v>80</v>
      </c>
      <c r="B365" s="36" t="s">
        <v>152</v>
      </c>
      <c r="C365" s="63">
        <v>3</v>
      </c>
      <c r="D365" s="78" t="s">
        <v>204</v>
      </c>
      <c r="E365" s="49" t="s">
        <v>236</v>
      </c>
      <c r="F365" s="77" t="s">
        <v>66</v>
      </c>
      <c r="G365" s="72">
        <v>20</v>
      </c>
      <c r="H365" s="63" t="s">
        <v>207</v>
      </c>
      <c r="I365" s="73">
        <v>1</v>
      </c>
      <c r="J365" s="74">
        <f>IF($D365="무료",0,IF($D365="메뉴",0,IF($D365="프렙",IFERROR(VLOOKUP($E365,'② 프렙 원가'!$B$6:$F$16,5,FALSE),0),IFERROR(VLOOKUP($E365,'① 식재료 단가'!$B$6:$G$123,6,FALSE),0))))</f>
      </c>
      <c r="K365" s="75">
        <f>IF($D365="메뉴",ROUND($G365*$J365,1),IF($I365&gt;0,ROUND($G365/$I365*$J365,1),0))</f>
      </c>
      <c r="L365" s="64" t="s">
        <v>66</v>
      </c>
    </row>
    <row r="366" spans="1:12" x14ac:dyDescent="0.25">
      <c r="A366" s="77" t="s">
        <v>80</v>
      </c>
      <c r="B366" s="36" t="s">
        <v>152</v>
      </c>
      <c r="C366" s="63">
        <v>4</v>
      </c>
      <c r="D366" s="78" t="s">
        <v>204</v>
      </c>
      <c r="E366" s="49" t="s">
        <v>279</v>
      </c>
      <c r="F366" s="77" t="s">
        <v>66</v>
      </c>
      <c r="G366" s="72">
        <v>30</v>
      </c>
      <c r="H366" s="63" t="s">
        <v>207</v>
      </c>
      <c r="I366" s="73">
        <v>1</v>
      </c>
      <c r="J366" s="74">
        <f>IF($D366="무료",0,IF($D366="메뉴",0,IF($D366="프렙",IFERROR(VLOOKUP($E366,'② 프렙 원가'!$B$6:$F$16,5,FALSE),0),IFERROR(VLOOKUP($E366,'① 식재료 단가'!$B$6:$G$123,6,FALSE),0))))</f>
      </c>
      <c r="K366" s="75">
        <f>IF($D366="메뉴",ROUND($G366*$J366,1),IF($I366&gt;0,ROUND($G366/$I366*$J366,1),0))</f>
      </c>
      <c r="L366" s="64" t="s">
        <v>272</v>
      </c>
    </row>
    <row r="367" spans="1:12" x14ac:dyDescent="0.25">
      <c r="A367" s="77" t="s">
        <v>80</v>
      </c>
      <c r="B367" s="36" t="s">
        <v>152</v>
      </c>
      <c r="C367" s="63">
        <v>5</v>
      </c>
      <c r="D367" s="78" t="s">
        <v>204</v>
      </c>
      <c r="E367" s="49" t="s">
        <v>270</v>
      </c>
      <c r="F367" s="77" t="s">
        <v>66</v>
      </c>
      <c r="G367" s="72">
        <v>50</v>
      </c>
      <c r="H367" s="63" t="s">
        <v>207</v>
      </c>
      <c r="I367" s="73">
        <v>1</v>
      </c>
      <c r="J367" s="74">
        <f>IF($D367="무료",0,IF($D367="메뉴",0,IF($D367="프렙",IFERROR(VLOOKUP($E367,'② 프렙 원가'!$B$6:$F$16,5,FALSE),0),IFERROR(VLOOKUP($E367,'① 식재료 단가'!$B$6:$G$123,6,FALSE),0))))</f>
      </c>
      <c r="K367" s="75">
        <f>IF($D367="메뉴",ROUND($G367*$J367,1),IF($I367&gt;0,ROUND($G367/$I367*$J367,1),0))</f>
      </c>
      <c r="L367" s="64" t="s">
        <v>230</v>
      </c>
    </row>
    <row r="368" spans="1:12" x14ac:dyDescent="0.25">
      <c r="A368" s="77" t="s">
        <v>80</v>
      </c>
      <c r="B368" s="36" t="s">
        <v>152</v>
      </c>
      <c r="C368" s="63">
        <v>6</v>
      </c>
      <c r="D368" s="78" t="s">
        <v>204</v>
      </c>
      <c r="E368" s="49" t="s">
        <v>243</v>
      </c>
      <c r="F368" s="77" t="s">
        <v>66</v>
      </c>
      <c r="G368" s="72">
        <v>20</v>
      </c>
      <c r="H368" s="63" t="s">
        <v>207</v>
      </c>
      <c r="I368" s="73">
        <v>1</v>
      </c>
      <c r="J368" s="74">
        <f>IF($D368="무료",0,IF($D368="메뉴",0,IF($D368="프렙",IFERROR(VLOOKUP($E368,'② 프렙 원가'!$B$6:$F$16,5,FALSE),0),IFERROR(VLOOKUP($E368,'① 식재료 단가'!$B$6:$G$123,6,FALSE),0))))</f>
      </c>
      <c r="K368" s="75">
        <f>IF($D368="메뉴",ROUND($G368*$J368,1),IF($I368&gt;0,ROUND($G368/$I368*$J368,1),0))</f>
      </c>
      <c r="L368" s="64" t="s">
        <v>244</v>
      </c>
    </row>
    <row r="369" spans="1:12" x14ac:dyDescent="0.25">
      <c r="A369" s="77" t="s">
        <v>80</v>
      </c>
      <c r="B369" s="36" t="s">
        <v>152</v>
      </c>
      <c r="C369" s="63">
        <v>7</v>
      </c>
      <c r="D369" s="78" t="s">
        <v>204</v>
      </c>
      <c r="E369" s="49" t="s">
        <v>378</v>
      </c>
      <c r="F369" s="77" t="s">
        <v>66</v>
      </c>
      <c r="G369" s="72">
        <v>15</v>
      </c>
      <c r="H369" s="63" t="s">
        <v>207</v>
      </c>
      <c r="I369" s="73">
        <v>1</v>
      </c>
      <c r="J369" s="74">
        <f>IF($D369="무료",0,IF($D369="메뉴",0,IF($D369="프렙",IFERROR(VLOOKUP($E369,'② 프렙 원가'!$B$6:$F$16,5,FALSE),0),IFERROR(VLOOKUP($E369,'① 식재료 단가'!$B$6:$G$123,6,FALSE),0))))</f>
      </c>
      <c r="K369" s="75">
        <f>IF($D369="메뉴",ROUND($G369*$J369,1),IF($I369&gt;0,ROUND($G369/$I369*$J369,1),0))</f>
      </c>
      <c r="L369" s="64" t="s">
        <v>66</v>
      </c>
    </row>
    <row r="370" spans="1:12" x14ac:dyDescent="0.25">
      <c r="A370" s="77" t="s">
        <v>80</v>
      </c>
      <c r="B370" s="36" t="s">
        <v>152</v>
      </c>
      <c r="C370" s="63">
        <v>8</v>
      </c>
      <c r="D370" s="78" t="s">
        <v>204</v>
      </c>
      <c r="E370" s="49" t="s">
        <v>379</v>
      </c>
      <c r="F370" s="77" t="s">
        <v>66</v>
      </c>
      <c r="G370" s="72">
        <v>20</v>
      </c>
      <c r="H370" s="63" t="s">
        <v>207</v>
      </c>
      <c r="I370" s="73">
        <v>1</v>
      </c>
      <c r="J370" s="74">
        <f>IF($D370="무료",0,IF($D370="메뉴",0,IF($D370="프렙",IFERROR(VLOOKUP($E370,'② 프렙 원가'!$B$6:$F$16,5,FALSE),0),IFERROR(VLOOKUP($E370,'① 식재료 단가'!$B$6:$G$123,6,FALSE),0))))</f>
      </c>
      <c r="K370" s="75">
        <f>IF($D370="메뉴",ROUND($G370*$J370,1),IF($I370&gt;0,ROUND($G370/$I370*$J370,1),0))</f>
      </c>
      <c r="L370" s="64" t="s">
        <v>66</v>
      </c>
    </row>
    <row r="371" spans="1:12" x14ac:dyDescent="0.25">
      <c r="A371" s="77" t="s">
        <v>80</v>
      </c>
      <c r="B371" s="36" t="s">
        <v>152</v>
      </c>
      <c r="C371" s="63">
        <v>9</v>
      </c>
      <c r="D371" s="78" t="s">
        <v>204</v>
      </c>
      <c r="E371" s="49" t="s">
        <v>248</v>
      </c>
      <c r="F371" s="77" t="s">
        <v>66</v>
      </c>
      <c r="G371" s="72">
        <v>20</v>
      </c>
      <c r="H371" s="63" t="s">
        <v>207</v>
      </c>
      <c r="I371" s="73">
        <v>1</v>
      </c>
      <c r="J371" s="74">
        <f>IF($D371="무료",0,IF($D371="메뉴",0,IF($D371="프렙",IFERROR(VLOOKUP($E371,'② 프렙 원가'!$B$6:$F$16,5,FALSE),0),IFERROR(VLOOKUP($E371,'① 식재료 단가'!$B$6:$G$123,6,FALSE),0))))</f>
      </c>
      <c r="K371" s="75">
        <f>IF($D371="메뉴",ROUND($G371*$J371,1),IF($I371&gt;0,ROUND($G371/$I371*$J371,1),0))</f>
      </c>
      <c r="L371" s="64" t="s">
        <v>66</v>
      </c>
    </row>
    <row r="372" spans="1:12" x14ac:dyDescent="0.25">
      <c r="A372" s="77" t="s">
        <v>80</v>
      </c>
      <c r="B372" s="36" t="s">
        <v>152</v>
      </c>
      <c r="C372" s="63">
        <v>10</v>
      </c>
      <c r="D372" s="78" t="s">
        <v>204</v>
      </c>
      <c r="E372" s="49" t="s">
        <v>380</v>
      </c>
      <c r="F372" s="77" t="s">
        <v>66</v>
      </c>
      <c r="G372" s="72">
        <v>20</v>
      </c>
      <c r="H372" s="63" t="s">
        <v>207</v>
      </c>
      <c r="I372" s="73">
        <v>1</v>
      </c>
      <c r="J372" s="74">
        <f>IF($D372="무료",0,IF($D372="메뉴",0,IF($D372="프렙",IFERROR(VLOOKUP($E372,'② 프렙 원가'!$B$6:$F$16,5,FALSE),0),IFERROR(VLOOKUP($E372,'① 식재료 단가'!$B$6:$G$123,6,FALSE),0))))</f>
      </c>
      <c r="K372" s="75">
        <f>IF($D372="메뉴",ROUND($G372*$J372,1),IF($I372&gt;0,ROUND($G372/$I372*$J372,1),0))</f>
      </c>
      <c r="L372" s="64" t="s">
        <v>66</v>
      </c>
    </row>
    <row r="373" spans="1:12" x14ac:dyDescent="0.25">
      <c r="A373" s="77" t="s">
        <v>80</v>
      </c>
      <c r="B373" s="36" t="s">
        <v>152</v>
      </c>
      <c r="C373" s="63">
        <v>11</v>
      </c>
      <c r="D373" s="78" t="s">
        <v>204</v>
      </c>
      <c r="E373" s="49" t="s">
        <v>287</v>
      </c>
      <c r="F373" s="77" t="s">
        <v>66</v>
      </c>
      <c r="G373" s="72">
        <v>10</v>
      </c>
      <c r="H373" s="63" t="s">
        <v>207</v>
      </c>
      <c r="I373" s="73">
        <v>1</v>
      </c>
      <c r="J373" s="74">
        <f>IF($D373="무료",0,IF($D373="메뉴",0,IF($D373="프렙",IFERROR(VLOOKUP($E373,'② 프렙 원가'!$B$6:$F$16,5,FALSE),0),IFERROR(VLOOKUP($E373,'① 식재료 단가'!$B$6:$G$123,6,FALSE),0))))</f>
      </c>
      <c r="K373" s="75">
        <f>IF($D373="메뉴",ROUND($G373*$J373,1),IF($I373&gt;0,ROUND($G373/$I373*$J373,1),0))</f>
      </c>
      <c r="L373" s="64" t="s">
        <v>66</v>
      </c>
    </row>
    <row r="374" spans="1:12" x14ac:dyDescent="0.25">
      <c r="A374" s="77" t="s">
        <v>80</v>
      </c>
      <c r="B374" s="36" t="s">
        <v>152</v>
      </c>
      <c r="C374" s="63">
        <v>12</v>
      </c>
      <c r="D374" s="78" t="s">
        <v>204</v>
      </c>
      <c r="E374" s="49" t="s">
        <v>217</v>
      </c>
      <c r="F374" s="77" t="s">
        <v>66</v>
      </c>
      <c r="G374" s="72">
        <v>10</v>
      </c>
      <c r="H374" s="63" t="s">
        <v>207</v>
      </c>
      <c r="I374" s="73">
        <v>1</v>
      </c>
      <c r="J374" s="74">
        <f>IF($D374="무료",0,IF($D374="메뉴",0,IF($D374="프렙",IFERROR(VLOOKUP($E374,'② 프렙 원가'!$B$6:$F$16,5,FALSE),0),IFERROR(VLOOKUP($E374,'① 식재료 단가'!$B$6:$G$123,6,FALSE),0))))</f>
      </c>
      <c r="K374" s="75">
        <f>IF($D374="메뉴",ROUND($G374*$J374,1),IF($I374&gt;0,ROUND($G374/$I374*$J374,1),0))</f>
      </c>
      <c r="L374" s="64" t="s">
        <v>66</v>
      </c>
    </row>
    <row r="375" spans="1:12" x14ac:dyDescent="0.25">
      <c r="A375" s="77" t="s">
        <v>80</v>
      </c>
      <c r="B375" s="36" t="s">
        <v>152</v>
      </c>
      <c r="C375" s="63">
        <v>13</v>
      </c>
      <c r="D375" s="78" t="s">
        <v>204</v>
      </c>
      <c r="E375" s="49" t="s">
        <v>300</v>
      </c>
      <c r="F375" s="77" t="s">
        <v>66</v>
      </c>
      <c r="G375" s="72">
        <v>20</v>
      </c>
      <c r="H375" s="63" t="s">
        <v>207</v>
      </c>
      <c r="I375" s="73">
        <v>1</v>
      </c>
      <c r="J375" s="74">
        <f>IF($D375="무료",0,IF($D375="메뉴",0,IF($D375="프렙",IFERROR(VLOOKUP($E375,'② 프렙 원가'!$B$6:$F$16,5,FALSE),0),IFERROR(VLOOKUP($E375,'① 식재료 단가'!$B$6:$G$123,6,FALSE),0))))</f>
      </c>
      <c r="K375" s="75">
        <f>IF($D375="메뉴",ROUND($G375*$J375,1),IF($I375&gt;0,ROUND($G375/$I375*$J375,1),0))</f>
      </c>
      <c r="L375" s="64" t="s">
        <v>242</v>
      </c>
    </row>
    <row r="376" spans="1:12" x14ac:dyDescent="0.25">
      <c r="A376" s="77" t="s">
        <v>80</v>
      </c>
      <c r="B376" s="36" t="s">
        <v>152</v>
      </c>
      <c r="C376" s="63">
        <v>14</v>
      </c>
      <c r="D376" s="78" t="s">
        <v>204</v>
      </c>
      <c r="E376" s="49" t="s">
        <v>238</v>
      </c>
      <c r="F376" s="77" t="s">
        <v>66</v>
      </c>
      <c r="G376" s="72">
        <v>20</v>
      </c>
      <c r="H376" s="63" t="s">
        <v>207</v>
      </c>
      <c r="I376" s="73">
        <v>1</v>
      </c>
      <c r="J376" s="74">
        <f>IF($D376="무료",0,IF($D376="메뉴",0,IF($D376="프렙",IFERROR(VLOOKUP($E376,'② 프렙 원가'!$B$6:$F$16,5,FALSE),0),IFERROR(VLOOKUP($E376,'① 식재료 단가'!$B$6:$G$123,6,FALSE),0))))</f>
      </c>
      <c r="K376" s="75">
        <f>IF($D376="메뉴",ROUND($G376*$J376,1),IF($I376&gt;0,ROUND($G376/$I376*$J376,1),0))</f>
      </c>
      <c r="L376" s="64" t="s">
        <v>240</v>
      </c>
    </row>
    <row r="377" spans="1:12" x14ac:dyDescent="0.25">
      <c r="A377" s="70" t="s">
        <v>80</v>
      </c>
      <c r="B377" s="31" t="s">
        <v>153</v>
      </c>
      <c r="C377" s="53">
        <v>1</v>
      </c>
      <c r="D377" s="76" t="s">
        <v>209</v>
      </c>
      <c r="E377" s="44" t="s">
        <v>265</v>
      </c>
      <c r="F377" s="70" t="s">
        <v>304</v>
      </c>
      <c r="G377" s="72">
        <v>100</v>
      </c>
      <c r="H377" s="53" t="s">
        <v>207</v>
      </c>
      <c r="I377" s="73">
        <v>1</v>
      </c>
      <c r="J377" s="74">
        <f>IF($D377="무료",0,IF($D377="메뉴",0,IF($D377="프렙",IFERROR(VLOOKUP($E377,'② 프렙 원가'!$B$6:$F$16,5,FALSE),0),IFERROR(VLOOKUP($E377,'① 식재료 단가'!$B$6:$G$123,6,FALSE),0))))</f>
      </c>
      <c r="K377" s="75">
        <f>IF($D377="메뉴",ROUND($G377*$J377,1),IF($I377&gt;0,ROUND($G377/$I377*$J377,1),0))</f>
      </c>
      <c r="L377" s="54" t="s">
        <v>381</v>
      </c>
    </row>
    <row r="378" spans="1:12" x14ac:dyDescent="0.25">
      <c r="A378" s="70" t="s">
        <v>80</v>
      </c>
      <c r="B378" s="31" t="s">
        <v>153</v>
      </c>
      <c r="C378" s="53">
        <v>2</v>
      </c>
      <c r="D378" s="71" t="s">
        <v>204</v>
      </c>
      <c r="E378" s="44" t="s">
        <v>382</v>
      </c>
      <c r="F378" s="70" t="s">
        <v>383</v>
      </c>
      <c r="G378" s="72">
        <v>50</v>
      </c>
      <c r="H378" s="53" t="s">
        <v>207</v>
      </c>
      <c r="I378" s="73">
        <v>1</v>
      </c>
      <c r="J378" s="74">
        <f>IF($D378="무료",0,IF($D378="메뉴",0,IF($D378="프렙",IFERROR(VLOOKUP($E378,'② 프렙 원가'!$B$6:$F$16,5,FALSE),0),IFERROR(VLOOKUP($E378,'① 식재료 단가'!$B$6:$G$123,6,FALSE),0))))</f>
      </c>
      <c r="K378" s="75">
        <f>IF($D378="메뉴",ROUND($G378*$J378,1),IF($I378&gt;0,ROUND($G378/$I378*$J378,1),0))</f>
      </c>
      <c r="L378" s="54" t="s">
        <v>377</v>
      </c>
    </row>
    <row r="379" spans="1:12" x14ac:dyDescent="0.25">
      <c r="A379" s="70" t="s">
        <v>80</v>
      </c>
      <c r="B379" s="31" t="s">
        <v>153</v>
      </c>
      <c r="C379" s="53">
        <v>3</v>
      </c>
      <c r="D379" s="71" t="s">
        <v>204</v>
      </c>
      <c r="E379" s="44" t="s">
        <v>236</v>
      </c>
      <c r="F379" s="70" t="s">
        <v>66</v>
      </c>
      <c r="G379" s="72">
        <v>70</v>
      </c>
      <c r="H379" s="53" t="s">
        <v>207</v>
      </c>
      <c r="I379" s="73">
        <v>1</v>
      </c>
      <c r="J379" s="74">
        <f>IF($D379="무료",0,IF($D379="메뉴",0,IF($D379="프렙",IFERROR(VLOOKUP($E379,'② 프렙 원가'!$B$6:$F$16,5,FALSE),0),IFERROR(VLOOKUP($E379,'① 식재료 단가'!$B$6:$G$123,6,FALSE),0))))</f>
      </c>
      <c r="K379" s="75">
        <f>IF($D379="메뉴",ROUND($G379*$J379,1),IF($I379&gt;0,ROUND($G379/$I379*$J379,1),0))</f>
      </c>
      <c r="L379" s="54" t="s">
        <v>66</v>
      </c>
    </row>
    <row r="380" spans="1:12" x14ac:dyDescent="0.25">
      <c r="A380" s="70" t="s">
        <v>80</v>
      </c>
      <c r="B380" s="31" t="s">
        <v>153</v>
      </c>
      <c r="C380" s="53">
        <v>4</v>
      </c>
      <c r="D380" s="71" t="s">
        <v>204</v>
      </c>
      <c r="E380" s="44" t="s">
        <v>246</v>
      </c>
      <c r="F380" s="70" t="s">
        <v>247</v>
      </c>
      <c r="G380" s="72">
        <v>20</v>
      </c>
      <c r="H380" s="53" t="s">
        <v>207</v>
      </c>
      <c r="I380" s="73">
        <v>1</v>
      </c>
      <c r="J380" s="74">
        <f>IF($D380="무료",0,IF($D380="메뉴",0,IF($D380="프렙",IFERROR(VLOOKUP($E380,'② 프렙 원가'!$B$6:$F$16,5,FALSE),0),IFERROR(VLOOKUP($E380,'① 식재료 단가'!$B$6:$G$123,6,FALSE),0))))</f>
      </c>
      <c r="K380" s="75">
        <f>IF($D380="메뉴",ROUND($G380*$J380,1),IF($I380&gt;0,ROUND($G380/$I380*$J380,1),0))</f>
      </c>
      <c r="L380" s="54" t="s">
        <v>66</v>
      </c>
    </row>
    <row r="381" spans="1:12" x14ac:dyDescent="0.25">
      <c r="A381" s="70" t="s">
        <v>80</v>
      </c>
      <c r="B381" s="31" t="s">
        <v>153</v>
      </c>
      <c r="C381" s="53">
        <v>5</v>
      </c>
      <c r="D381" s="71" t="s">
        <v>204</v>
      </c>
      <c r="E381" s="44" t="s">
        <v>216</v>
      </c>
      <c r="F381" s="70" t="s">
        <v>66</v>
      </c>
      <c r="G381" s="72">
        <v>10</v>
      </c>
      <c r="H381" s="53" t="s">
        <v>207</v>
      </c>
      <c r="I381" s="73">
        <v>1</v>
      </c>
      <c r="J381" s="74">
        <f>IF($D381="무료",0,IF($D381="메뉴",0,IF($D381="프렙",IFERROR(VLOOKUP($E381,'② 프렙 원가'!$B$6:$F$16,5,FALSE),0),IFERROR(VLOOKUP($E381,'① 식재료 단가'!$B$6:$G$123,6,FALSE),0))))</f>
      </c>
      <c r="K381" s="75">
        <f>IF($D381="메뉴",ROUND($G381*$J381,1),IF($I381&gt;0,ROUND($G381/$I381*$J381,1),0))</f>
      </c>
      <c r="L381" s="54" t="s">
        <v>66</v>
      </c>
    </row>
    <row r="382" spans="1:12" x14ac:dyDescent="0.25">
      <c r="A382" s="70" t="s">
        <v>80</v>
      </c>
      <c r="B382" s="31" t="s">
        <v>153</v>
      </c>
      <c r="C382" s="53">
        <v>6</v>
      </c>
      <c r="D382" s="71" t="s">
        <v>204</v>
      </c>
      <c r="E382" s="44" t="s">
        <v>238</v>
      </c>
      <c r="F382" s="70" t="s">
        <v>66</v>
      </c>
      <c r="G382" s="72">
        <v>20</v>
      </c>
      <c r="H382" s="53" t="s">
        <v>239</v>
      </c>
      <c r="I382" s="73">
        <v>1</v>
      </c>
      <c r="J382" s="74">
        <f>IF($D382="무료",0,IF($D382="메뉴",0,IF($D382="프렙",IFERROR(VLOOKUP($E382,'② 프렙 원가'!$B$6:$F$16,5,FALSE),0),IFERROR(VLOOKUP($E382,'① 식재료 단가'!$B$6:$G$123,6,FALSE),0))))</f>
      </c>
      <c r="K382" s="75">
        <f>IF($D382="메뉴",ROUND($G382*$J382,1),IF($I382&gt;0,ROUND($G382/$I382*$J382,1),0))</f>
      </c>
      <c r="L382" s="54" t="s">
        <v>240</v>
      </c>
    </row>
    <row r="383" spans="1:12" x14ac:dyDescent="0.25">
      <c r="A383" s="77" t="s">
        <v>80</v>
      </c>
      <c r="B383" s="36" t="s">
        <v>154</v>
      </c>
      <c r="C383" s="63">
        <v>1</v>
      </c>
      <c r="D383" s="78" t="s">
        <v>204</v>
      </c>
      <c r="E383" s="49" t="s">
        <v>279</v>
      </c>
      <c r="F383" s="77" t="s">
        <v>66</v>
      </c>
      <c r="G383" s="72">
        <v>50</v>
      </c>
      <c r="H383" s="63" t="s">
        <v>207</v>
      </c>
      <c r="I383" s="73">
        <v>1</v>
      </c>
      <c r="J383" s="74">
        <f>IF($D383="무료",0,IF($D383="메뉴",0,IF($D383="프렙",IFERROR(VLOOKUP($E383,'② 프렙 원가'!$B$6:$F$16,5,FALSE),0),IFERROR(VLOOKUP($E383,'① 식재료 단가'!$B$6:$G$123,6,FALSE),0))))</f>
      </c>
      <c r="K383" s="75">
        <f>IF($D383="메뉴",ROUND($G383*$J383,1),IF($I383&gt;0,ROUND($G383/$I383*$J383,1),0))</f>
      </c>
      <c r="L383" s="64" t="s">
        <v>271</v>
      </c>
    </row>
    <row r="384" spans="1:12" x14ac:dyDescent="0.25">
      <c r="A384" s="77" t="s">
        <v>80</v>
      </c>
      <c r="B384" s="36" t="s">
        <v>154</v>
      </c>
      <c r="C384" s="63">
        <v>2</v>
      </c>
      <c r="D384" s="78" t="s">
        <v>204</v>
      </c>
      <c r="E384" s="49" t="s">
        <v>334</v>
      </c>
      <c r="F384" s="77" t="s">
        <v>66</v>
      </c>
      <c r="G384" s="72">
        <v>50</v>
      </c>
      <c r="H384" s="63" t="s">
        <v>207</v>
      </c>
      <c r="I384" s="73">
        <v>1</v>
      </c>
      <c r="J384" s="74">
        <f>IF($D384="무료",0,IF($D384="메뉴",0,IF($D384="프렙",IFERROR(VLOOKUP($E384,'② 프렙 원가'!$B$6:$F$16,5,FALSE),0),IFERROR(VLOOKUP($E384,'① 식재료 단가'!$B$6:$G$123,6,FALSE),0))))</f>
      </c>
      <c r="K384" s="75">
        <f>IF($D384="메뉴",ROUND($G384*$J384,1),IF($I384&gt;0,ROUND($G384/$I384*$J384,1),0))</f>
      </c>
      <c r="L384" s="64" t="s">
        <v>271</v>
      </c>
    </row>
    <row r="385" spans="1:12" x14ac:dyDescent="0.25">
      <c r="A385" s="77" t="s">
        <v>80</v>
      </c>
      <c r="B385" s="36" t="s">
        <v>154</v>
      </c>
      <c r="C385" s="63">
        <v>3</v>
      </c>
      <c r="D385" s="78" t="s">
        <v>204</v>
      </c>
      <c r="E385" s="49" t="s">
        <v>359</v>
      </c>
      <c r="F385" s="77" t="s">
        <v>66</v>
      </c>
      <c r="G385" s="72">
        <v>70</v>
      </c>
      <c r="H385" s="63" t="s">
        <v>207</v>
      </c>
      <c r="I385" s="73">
        <v>1</v>
      </c>
      <c r="J385" s="74">
        <f>IF($D385="무료",0,IF($D385="메뉴",0,IF($D385="프렙",IFERROR(VLOOKUP($E385,'② 프렙 원가'!$B$6:$F$16,5,FALSE),0),IFERROR(VLOOKUP($E385,'① 식재료 단가'!$B$6:$G$123,6,FALSE),0))))</f>
      </c>
      <c r="K385" s="75">
        <f>IF($D385="메뉴",ROUND($G385*$J385,1),IF($I385&gt;0,ROUND($G385/$I385*$J385,1),0))</f>
      </c>
      <c r="L385" s="64" t="s">
        <v>271</v>
      </c>
    </row>
    <row r="386" spans="1:12" x14ac:dyDescent="0.25">
      <c r="A386" s="77" t="s">
        <v>80</v>
      </c>
      <c r="B386" s="36" t="s">
        <v>154</v>
      </c>
      <c r="C386" s="63">
        <v>4</v>
      </c>
      <c r="D386" s="78" t="s">
        <v>204</v>
      </c>
      <c r="E386" s="49" t="s">
        <v>243</v>
      </c>
      <c r="F386" s="77" t="s">
        <v>66</v>
      </c>
      <c r="G386" s="72">
        <v>30</v>
      </c>
      <c r="H386" s="63" t="s">
        <v>207</v>
      </c>
      <c r="I386" s="73">
        <v>1</v>
      </c>
      <c r="J386" s="74">
        <f>IF($D386="무료",0,IF($D386="메뉴",0,IF($D386="프렙",IFERROR(VLOOKUP($E386,'② 프렙 원가'!$B$6:$F$16,5,FALSE),0),IFERROR(VLOOKUP($E386,'① 식재료 단가'!$B$6:$G$123,6,FALSE),0))))</f>
      </c>
      <c r="K386" s="75">
        <f>IF($D386="메뉴",ROUND($G386*$J386,1),IF($I386&gt;0,ROUND($G386/$I386*$J386,1),0))</f>
      </c>
      <c r="L386" s="64" t="s">
        <v>242</v>
      </c>
    </row>
    <row r="387" spans="1:12" x14ac:dyDescent="0.25">
      <c r="A387" s="77" t="s">
        <v>80</v>
      </c>
      <c r="B387" s="36" t="s">
        <v>154</v>
      </c>
      <c r="C387" s="63">
        <v>5</v>
      </c>
      <c r="D387" s="78" t="s">
        <v>204</v>
      </c>
      <c r="E387" s="49" t="s">
        <v>382</v>
      </c>
      <c r="F387" s="77" t="s">
        <v>383</v>
      </c>
      <c r="G387" s="72">
        <v>30</v>
      </c>
      <c r="H387" s="63" t="s">
        <v>207</v>
      </c>
      <c r="I387" s="73">
        <v>1</v>
      </c>
      <c r="J387" s="74">
        <f>IF($D387="무료",0,IF($D387="메뉴",0,IF($D387="프렙",IFERROR(VLOOKUP($E387,'② 프렙 원가'!$B$6:$F$16,5,FALSE),0),IFERROR(VLOOKUP($E387,'① 식재료 단가'!$B$6:$G$123,6,FALSE),0))))</f>
      </c>
      <c r="K387" s="75">
        <f>IF($D387="메뉴",ROUND($G387*$J387,1),IF($I387&gt;0,ROUND($G387/$I387*$J387,1),0))</f>
      </c>
      <c r="L387" s="64" t="s">
        <v>377</v>
      </c>
    </row>
    <row r="388" spans="1:12" x14ac:dyDescent="0.25">
      <c r="A388" s="77" t="s">
        <v>80</v>
      </c>
      <c r="B388" s="36" t="s">
        <v>154</v>
      </c>
      <c r="C388" s="63">
        <v>6</v>
      </c>
      <c r="D388" s="78" t="s">
        <v>204</v>
      </c>
      <c r="E388" s="49" t="s">
        <v>283</v>
      </c>
      <c r="F388" s="77" t="s">
        <v>284</v>
      </c>
      <c r="G388" s="72">
        <v>10</v>
      </c>
      <c r="H388" s="63" t="s">
        <v>207</v>
      </c>
      <c r="I388" s="73">
        <v>1</v>
      </c>
      <c r="J388" s="74">
        <f>IF($D388="무료",0,IF($D388="메뉴",0,IF($D388="프렙",IFERROR(VLOOKUP($E388,'② 프렙 원가'!$B$6:$F$16,5,FALSE),0),IFERROR(VLOOKUP($E388,'① 식재료 단가'!$B$6:$G$123,6,FALSE),0))))</f>
      </c>
      <c r="K388" s="75">
        <f>IF($D388="메뉴",ROUND($G388*$J388,1),IF($I388&gt;0,ROUND($G388/$I388*$J388,1),0))</f>
      </c>
      <c r="L388" s="64" t="s">
        <v>66</v>
      </c>
    </row>
    <row r="389" spans="1:12" x14ac:dyDescent="0.25">
      <c r="A389" s="77" t="s">
        <v>80</v>
      </c>
      <c r="B389" s="36" t="s">
        <v>154</v>
      </c>
      <c r="C389" s="63">
        <v>7</v>
      </c>
      <c r="D389" s="78" t="s">
        <v>204</v>
      </c>
      <c r="E389" s="49" t="s">
        <v>216</v>
      </c>
      <c r="F389" s="77" t="s">
        <v>66</v>
      </c>
      <c r="G389" s="72">
        <v>10</v>
      </c>
      <c r="H389" s="63" t="s">
        <v>207</v>
      </c>
      <c r="I389" s="73">
        <v>1</v>
      </c>
      <c r="J389" s="74">
        <f>IF($D389="무료",0,IF($D389="메뉴",0,IF($D389="프렙",IFERROR(VLOOKUP($E389,'② 프렙 원가'!$B$6:$F$16,5,FALSE),0),IFERROR(VLOOKUP($E389,'① 식재료 단가'!$B$6:$G$123,6,FALSE),0))))</f>
      </c>
      <c r="K389" s="75">
        <f>IF($D389="메뉴",ROUND($G389*$J389,1),IF($I389&gt;0,ROUND($G389/$I389*$J389,1),0))</f>
      </c>
      <c r="L389" s="64" t="s">
        <v>66</v>
      </c>
    </row>
    <row r="390" spans="1:12" x14ac:dyDescent="0.25">
      <c r="A390" s="77" t="s">
        <v>80</v>
      </c>
      <c r="B390" s="36" t="s">
        <v>154</v>
      </c>
      <c r="C390" s="63">
        <v>8</v>
      </c>
      <c r="D390" s="78" t="s">
        <v>204</v>
      </c>
      <c r="E390" s="49" t="s">
        <v>238</v>
      </c>
      <c r="F390" s="77" t="s">
        <v>66</v>
      </c>
      <c r="G390" s="72">
        <v>20</v>
      </c>
      <c r="H390" s="63" t="s">
        <v>239</v>
      </c>
      <c r="I390" s="73">
        <v>1</v>
      </c>
      <c r="J390" s="74">
        <f>IF($D390="무료",0,IF($D390="메뉴",0,IF($D390="프렙",IFERROR(VLOOKUP($E390,'② 프렙 원가'!$B$6:$F$16,5,FALSE),0),IFERROR(VLOOKUP($E390,'① 식재료 단가'!$B$6:$G$123,6,FALSE),0))))</f>
      </c>
      <c r="K390" s="75">
        <f>IF($D390="메뉴",ROUND($G390*$J390,1),IF($I390&gt;0,ROUND($G390/$I390*$J390,1),0))</f>
      </c>
      <c r="L390" s="64" t="s">
        <v>240</v>
      </c>
    </row>
    <row r="391" spans="1:12" x14ac:dyDescent="0.25">
      <c r="A391" s="70" t="s">
        <v>80</v>
      </c>
      <c r="B391" s="31" t="s">
        <v>155</v>
      </c>
      <c r="C391" s="53">
        <v>1</v>
      </c>
      <c r="D391" s="71" t="s">
        <v>204</v>
      </c>
      <c r="E391" s="44" t="s">
        <v>384</v>
      </c>
      <c r="F391" s="70" t="s">
        <v>385</v>
      </c>
      <c r="G391" s="72">
        <v>250</v>
      </c>
      <c r="H391" s="53" t="s">
        <v>207</v>
      </c>
      <c r="I391" s="73">
        <v>1</v>
      </c>
      <c r="J391" s="74">
        <f>IF($D391="무료",0,IF($D391="메뉴",0,IF($D391="프렙",IFERROR(VLOOKUP($E391,'② 프렙 원가'!$B$6:$F$16,5,FALSE),0),IFERROR(VLOOKUP($E391,'① 식재료 단가'!$B$6:$G$123,6,FALSE),0))))</f>
      </c>
      <c r="K391" s="75">
        <f>IF($D391="메뉴",ROUND($G391*$J391,1),IF($I391&gt;0,ROUND($G391/$I391*$J391,1),0))</f>
      </c>
      <c r="L391" s="54" t="s">
        <v>386</v>
      </c>
    </row>
    <row r="392" spans="1:12" x14ac:dyDescent="0.25">
      <c r="A392" s="70" t="s">
        <v>80</v>
      </c>
      <c r="B392" s="31" t="s">
        <v>155</v>
      </c>
      <c r="C392" s="53">
        <v>2</v>
      </c>
      <c r="D392" s="71" t="s">
        <v>204</v>
      </c>
      <c r="E392" s="44" t="s">
        <v>380</v>
      </c>
      <c r="F392" s="70" t="s">
        <v>387</v>
      </c>
      <c r="G392" s="72">
        <v>30</v>
      </c>
      <c r="H392" s="53" t="s">
        <v>207</v>
      </c>
      <c r="I392" s="73">
        <v>1</v>
      </c>
      <c r="J392" s="74">
        <f>IF($D392="무료",0,IF($D392="메뉴",0,IF($D392="프렙",IFERROR(VLOOKUP($E392,'② 프렙 원가'!$B$6:$F$16,5,FALSE),0),IFERROR(VLOOKUP($E392,'① 식재료 단가'!$B$6:$G$123,6,FALSE),0))))</f>
      </c>
      <c r="K392" s="75">
        <f>IF($D392="메뉴",ROUND($G392*$J392,1),IF($I392&gt;0,ROUND($G392/$I392*$J392,1),0))</f>
      </c>
      <c r="L392" s="54" t="s">
        <v>388</v>
      </c>
    </row>
    <row r="393" spans="1:12" x14ac:dyDescent="0.25">
      <c r="A393" s="70" t="s">
        <v>80</v>
      </c>
      <c r="B393" s="31" t="s">
        <v>155</v>
      </c>
      <c r="C393" s="53">
        <v>3</v>
      </c>
      <c r="D393" s="71" t="s">
        <v>204</v>
      </c>
      <c r="E393" s="44" t="s">
        <v>216</v>
      </c>
      <c r="F393" s="70" t="s">
        <v>66</v>
      </c>
      <c r="G393" s="72">
        <v>5</v>
      </c>
      <c r="H393" s="53" t="s">
        <v>207</v>
      </c>
      <c r="I393" s="73">
        <v>1</v>
      </c>
      <c r="J393" s="74">
        <f>IF($D393="무료",0,IF($D393="메뉴",0,IF($D393="프렙",IFERROR(VLOOKUP($E393,'② 프렙 원가'!$B$6:$F$16,5,FALSE),0),IFERROR(VLOOKUP($E393,'① 식재료 단가'!$B$6:$G$123,6,FALSE),0))))</f>
      </c>
      <c r="K393" s="75">
        <f>IF($D393="메뉴",ROUND($G393*$J393,1),IF($I393&gt;0,ROUND($G393/$I393*$J393,1),0))</f>
      </c>
      <c r="L393" s="54" t="s">
        <v>389</v>
      </c>
    </row>
    <row r="394" spans="1:12" x14ac:dyDescent="0.25">
      <c r="A394" s="77" t="s">
        <v>81</v>
      </c>
      <c r="B394" s="36" t="s">
        <v>156</v>
      </c>
      <c r="C394" s="63">
        <v>1</v>
      </c>
      <c r="D394" s="78" t="s">
        <v>204</v>
      </c>
      <c r="E394" s="49" t="s">
        <v>205</v>
      </c>
      <c r="F394" s="77" t="s">
        <v>206</v>
      </c>
      <c r="G394" s="72">
        <v>50</v>
      </c>
      <c r="H394" s="63" t="s">
        <v>207</v>
      </c>
      <c r="I394" s="73">
        <v>1</v>
      </c>
      <c r="J394" s="74">
        <f>IF($D394="무료",0,IF($D394="메뉴",0,IF($D394="프렙",IFERROR(VLOOKUP($E394,'② 프렙 원가'!$B$6:$F$16,5,FALSE),0),IFERROR(VLOOKUP($E394,'① 식재료 단가'!$B$6:$G$123,6,FALSE),0))))</f>
      </c>
      <c r="K394" s="75">
        <f>IF($D394="메뉴",ROUND($G394*$J394,1),IF($I394&gt;0,ROUND($G394/$I394*$J394,1),0))</f>
      </c>
      <c r="L394" s="64" t="s">
        <v>390</v>
      </c>
    </row>
    <row r="395" spans="1:12" x14ac:dyDescent="0.25">
      <c r="A395" s="77" t="s">
        <v>81</v>
      </c>
      <c r="B395" s="36" t="s">
        <v>156</v>
      </c>
      <c r="C395" s="63">
        <v>2</v>
      </c>
      <c r="D395" s="78" t="s">
        <v>204</v>
      </c>
      <c r="E395" s="49" t="s">
        <v>371</v>
      </c>
      <c r="F395" s="77" t="s">
        <v>372</v>
      </c>
      <c r="G395" s="72">
        <v>150</v>
      </c>
      <c r="H395" s="63" t="s">
        <v>207</v>
      </c>
      <c r="I395" s="73">
        <v>1</v>
      </c>
      <c r="J395" s="74">
        <f>IF($D395="무료",0,IF($D395="메뉴",0,IF($D395="프렙",IFERROR(VLOOKUP($E395,'② 프렙 원가'!$B$6:$F$16,5,FALSE),0),IFERROR(VLOOKUP($E395,'① 식재료 단가'!$B$6:$G$123,6,FALSE),0))))</f>
      </c>
      <c r="K395" s="75">
        <f>IF($D395="메뉴",ROUND($G395*$J395,1),IF($I395&gt;0,ROUND($G395/$I395*$J395,1),0))</f>
      </c>
      <c r="L395" s="64" t="s">
        <v>66</v>
      </c>
    </row>
    <row r="396" spans="1:12" x14ac:dyDescent="0.25">
      <c r="A396" s="77" t="s">
        <v>81</v>
      </c>
      <c r="B396" s="36" t="s">
        <v>156</v>
      </c>
      <c r="C396" s="63">
        <v>3</v>
      </c>
      <c r="D396" s="78" t="s">
        <v>204</v>
      </c>
      <c r="E396" s="49" t="s">
        <v>279</v>
      </c>
      <c r="F396" s="77" t="s">
        <v>66</v>
      </c>
      <c r="G396" s="72">
        <v>20</v>
      </c>
      <c r="H396" s="63" t="s">
        <v>207</v>
      </c>
      <c r="I396" s="73">
        <v>1</v>
      </c>
      <c r="J396" s="74">
        <f>IF($D396="무료",0,IF($D396="메뉴",0,IF($D396="프렙",IFERROR(VLOOKUP($E396,'② 프렙 원가'!$B$6:$F$16,5,FALSE),0),IFERROR(VLOOKUP($E396,'① 식재료 단가'!$B$6:$G$123,6,FALSE),0))))</f>
      </c>
      <c r="K396" s="75">
        <f>IF($D396="메뉴",ROUND($G396*$J396,1),IF($I396&gt;0,ROUND($G396/$I396*$J396,1),0))</f>
      </c>
      <c r="L396" s="64" t="s">
        <v>271</v>
      </c>
    </row>
    <row r="397" spans="1:12" x14ac:dyDescent="0.25">
      <c r="A397" s="77" t="s">
        <v>81</v>
      </c>
      <c r="B397" s="36" t="s">
        <v>156</v>
      </c>
      <c r="C397" s="63">
        <v>4</v>
      </c>
      <c r="D397" s="78" t="s">
        <v>204</v>
      </c>
      <c r="E397" s="49" t="s">
        <v>300</v>
      </c>
      <c r="F397" s="77" t="s">
        <v>66</v>
      </c>
      <c r="G397" s="72">
        <v>10</v>
      </c>
      <c r="H397" s="63" t="s">
        <v>207</v>
      </c>
      <c r="I397" s="73">
        <v>1</v>
      </c>
      <c r="J397" s="74">
        <f>IF($D397="무료",0,IF($D397="메뉴",0,IF($D397="프렙",IFERROR(VLOOKUP($E397,'② 프렙 원가'!$B$6:$F$16,5,FALSE),0),IFERROR(VLOOKUP($E397,'① 식재료 단가'!$B$6:$G$123,6,FALSE),0))))</f>
      </c>
      <c r="K397" s="75">
        <f>IF($D397="메뉴",ROUND($G397*$J397,1),IF($I397&gt;0,ROUND($G397/$I397*$J397,1),0))</f>
      </c>
      <c r="L397" s="64" t="s">
        <v>242</v>
      </c>
    </row>
    <row r="398" spans="1:12" x14ac:dyDescent="0.25">
      <c r="A398" s="77" t="s">
        <v>81</v>
      </c>
      <c r="B398" s="36" t="s">
        <v>156</v>
      </c>
      <c r="C398" s="63">
        <v>5</v>
      </c>
      <c r="D398" s="78" t="s">
        <v>204</v>
      </c>
      <c r="E398" s="49" t="s">
        <v>234</v>
      </c>
      <c r="F398" s="77" t="s">
        <v>66</v>
      </c>
      <c r="G398" s="72">
        <v>10</v>
      </c>
      <c r="H398" s="63" t="s">
        <v>207</v>
      </c>
      <c r="I398" s="73">
        <v>1</v>
      </c>
      <c r="J398" s="74">
        <f>IF($D398="무료",0,IF($D398="메뉴",0,IF($D398="프렙",IFERROR(VLOOKUP($E398,'② 프렙 원가'!$B$6:$F$16,5,FALSE),0),IFERROR(VLOOKUP($E398,'① 식재료 단가'!$B$6:$G$123,6,FALSE),0))))</f>
      </c>
      <c r="K398" s="75">
        <f>IF($D398="메뉴",ROUND($G398*$J398,1),IF($I398&gt;0,ROUND($G398/$I398*$J398,1),0))</f>
      </c>
      <c r="L398" s="64" t="s">
        <v>242</v>
      </c>
    </row>
    <row r="399" spans="1:12" x14ac:dyDescent="0.25">
      <c r="A399" s="77" t="s">
        <v>81</v>
      </c>
      <c r="B399" s="36" t="s">
        <v>156</v>
      </c>
      <c r="C399" s="63">
        <v>6</v>
      </c>
      <c r="D399" s="78" t="s">
        <v>204</v>
      </c>
      <c r="E399" s="49" t="s">
        <v>246</v>
      </c>
      <c r="F399" s="77" t="s">
        <v>247</v>
      </c>
      <c r="G399" s="72">
        <v>10</v>
      </c>
      <c r="H399" s="63" t="s">
        <v>207</v>
      </c>
      <c r="I399" s="73">
        <v>1</v>
      </c>
      <c r="J399" s="74">
        <f>IF($D399="무료",0,IF($D399="메뉴",0,IF($D399="프렙",IFERROR(VLOOKUP($E399,'② 프렙 원가'!$B$6:$F$16,5,FALSE),0),IFERROR(VLOOKUP($E399,'① 식재료 단가'!$B$6:$G$123,6,FALSE),0))))</f>
      </c>
      <c r="K399" s="75">
        <f>IF($D399="메뉴",ROUND($G399*$J399,1),IF($I399&gt;0,ROUND($G399/$I399*$J399,1),0))</f>
      </c>
      <c r="L399" s="64" t="s">
        <v>66</v>
      </c>
    </row>
    <row r="400" spans="1:12" x14ac:dyDescent="0.25">
      <c r="A400" s="77" t="s">
        <v>81</v>
      </c>
      <c r="B400" s="36" t="s">
        <v>156</v>
      </c>
      <c r="C400" s="63">
        <v>7</v>
      </c>
      <c r="D400" s="78" t="s">
        <v>204</v>
      </c>
      <c r="E400" s="49" t="s">
        <v>301</v>
      </c>
      <c r="F400" s="77" t="s">
        <v>66</v>
      </c>
      <c r="G400" s="72">
        <v>10</v>
      </c>
      <c r="H400" s="63" t="s">
        <v>207</v>
      </c>
      <c r="I400" s="73">
        <v>1</v>
      </c>
      <c r="J400" s="74">
        <f>IF($D400="무료",0,IF($D400="메뉴",0,IF($D400="프렙",IFERROR(VLOOKUP($E400,'② 프렙 원가'!$B$6:$F$16,5,FALSE),0),IFERROR(VLOOKUP($E400,'① 식재료 단가'!$B$6:$G$123,6,FALSE),0))))</f>
      </c>
      <c r="K400" s="75">
        <f>IF($D400="메뉴",ROUND($G400*$J400,1),IF($I400&gt;0,ROUND($G400/$I400*$J400,1),0))</f>
      </c>
      <c r="L400" s="64" t="s">
        <v>66</v>
      </c>
    </row>
    <row r="401" spans="1:12" x14ac:dyDescent="0.25">
      <c r="A401" s="77" t="s">
        <v>81</v>
      </c>
      <c r="B401" s="36" t="s">
        <v>156</v>
      </c>
      <c r="C401" s="63">
        <v>8</v>
      </c>
      <c r="D401" s="78" t="s">
        <v>204</v>
      </c>
      <c r="E401" s="49" t="s">
        <v>391</v>
      </c>
      <c r="F401" s="77" t="s">
        <v>66</v>
      </c>
      <c r="G401" s="72">
        <v>5</v>
      </c>
      <c r="H401" s="63" t="s">
        <v>207</v>
      </c>
      <c r="I401" s="73">
        <v>1</v>
      </c>
      <c r="J401" s="74">
        <f>IF($D401="무료",0,IF($D401="메뉴",0,IF($D401="프렙",IFERROR(VLOOKUP($E401,'② 프렙 원가'!$B$6:$F$16,5,FALSE),0),IFERROR(VLOOKUP($E401,'① 식재료 단가'!$B$6:$G$123,6,FALSE),0))))</f>
      </c>
      <c r="K401" s="75">
        <f>IF($D401="메뉴",ROUND($G401*$J401,1),IF($I401&gt;0,ROUND($G401/$I401*$J401,1),0))</f>
      </c>
      <c r="L401" s="64" t="s">
        <v>66</v>
      </c>
    </row>
    <row r="402" spans="1:12" x14ac:dyDescent="0.25">
      <c r="A402" s="77" t="s">
        <v>81</v>
      </c>
      <c r="B402" s="36" t="s">
        <v>156</v>
      </c>
      <c r="C402" s="63">
        <v>9</v>
      </c>
      <c r="D402" s="78" t="s">
        <v>204</v>
      </c>
      <c r="E402" s="49" t="s">
        <v>241</v>
      </c>
      <c r="F402" s="77" t="s">
        <v>66</v>
      </c>
      <c r="G402" s="72">
        <v>20</v>
      </c>
      <c r="H402" s="63" t="s">
        <v>207</v>
      </c>
      <c r="I402" s="73">
        <v>1</v>
      </c>
      <c r="J402" s="74">
        <f>IF($D402="무료",0,IF($D402="메뉴",0,IF($D402="프렙",IFERROR(VLOOKUP($E402,'② 프렙 원가'!$B$6:$F$16,5,FALSE),0),IFERROR(VLOOKUP($E402,'① 식재료 단가'!$B$6:$G$123,6,FALSE),0))))</f>
      </c>
      <c r="K402" s="75">
        <f>IF($D402="메뉴",ROUND($G402*$J402,1),IF($I402&gt;0,ROUND($G402/$I402*$J402,1),0))</f>
      </c>
      <c r="L402" s="64" t="s">
        <v>242</v>
      </c>
    </row>
    <row r="403" spans="1:12" x14ac:dyDescent="0.25">
      <c r="A403" s="77" t="s">
        <v>81</v>
      </c>
      <c r="B403" s="36" t="s">
        <v>156</v>
      </c>
      <c r="C403" s="63">
        <v>10</v>
      </c>
      <c r="D403" s="78" t="s">
        <v>204</v>
      </c>
      <c r="E403" s="49" t="s">
        <v>359</v>
      </c>
      <c r="F403" s="77" t="s">
        <v>66</v>
      </c>
      <c r="G403" s="72">
        <v>30</v>
      </c>
      <c r="H403" s="63" t="s">
        <v>207</v>
      </c>
      <c r="I403" s="73">
        <v>1</v>
      </c>
      <c r="J403" s="74">
        <f>IF($D403="무료",0,IF($D403="메뉴",0,IF($D403="프렙",IFERROR(VLOOKUP($E403,'② 프렙 원가'!$B$6:$F$16,5,FALSE),0),IFERROR(VLOOKUP($E403,'① 식재료 단가'!$B$6:$G$123,6,FALSE),0))))</f>
      </c>
      <c r="K403" s="75">
        <f>IF($D403="메뉴",ROUND($G403*$J403,1),IF($I403&gt;0,ROUND($G403/$I403*$J403,1),0))</f>
      </c>
      <c r="L403" s="64" t="s">
        <v>271</v>
      </c>
    </row>
    <row r="404" spans="1:12" x14ac:dyDescent="0.25">
      <c r="A404" s="77" t="s">
        <v>81</v>
      </c>
      <c r="B404" s="36" t="s">
        <v>156</v>
      </c>
      <c r="C404" s="63">
        <v>11</v>
      </c>
      <c r="D404" s="78" t="s">
        <v>204</v>
      </c>
      <c r="E404" s="49" t="s">
        <v>334</v>
      </c>
      <c r="F404" s="77" t="s">
        <v>66</v>
      </c>
      <c r="G404" s="72">
        <v>30</v>
      </c>
      <c r="H404" s="63" t="s">
        <v>207</v>
      </c>
      <c r="I404" s="73">
        <v>1</v>
      </c>
      <c r="J404" s="74">
        <f>IF($D404="무료",0,IF($D404="메뉴",0,IF($D404="프렙",IFERROR(VLOOKUP($E404,'② 프렙 원가'!$B$6:$F$16,5,FALSE),0),IFERROR(VLOOKUP($E404,'① 식재료 단가'!$B$6:$G$123,6,FALSE),0))))</f>
      </c>
      <c r="K404" s="75">
        <f>IF($D404="메뉴",ROUND($G404*$J404,1),IF($I404&gt;0,ROUND($G404/$I404*$J404,1),0))</f>
      </c>
      <c r="L404" s="64" t="s">
        <v>271</v>
      </c>
    </row>
    <row r="405" spans="1:12" x14ac:dyDescent="0.25">
      <c r="A405" s="77" t="s">
        <v>81</v>
      </c>
      <c r="B405" s="36" t="s">
        <v>156</v>
      </c>
      <c r="C405" s="63">
        <v>12</v>
      </c>
      <c r="D405" s="78" t="s">
        <v>204</v>
      </c>
      <c r="E405" s="49" t="s">
        <v>216</v>
      </c>
      <c r="F405" s="77" t="s">
        <v>66</v>
      </c>
      <c r="G405" s="72">
        <v>10</v>
      </c>
      <c r="H405" s="63" t="s">
        <v>207</v>
      </c>
      <c r="I405" s="73">
        <v>1</v>
      </c>
      <c r="J405" s="74">
        <f>IF($D405="무료",0,IF($D405="메뉴",0,IF($D405="프렙",IFERROR(VLOOKUP($E405,'② 프렙 원가'!$B$6:$F$16,5,FALSE),0),IFERROR(VLOOKUP($E405,'① 식재료 단가'!$B$6:$G$123,6,FALSE),0))))</f>
      </c>
      <c r="K405" s="75">
        <f>IF($D405="메뉴",ROUND($G405*$J405,1),IF($I405&gt;0,ROUND($G405/$I405*$J405,1),0))</f>
      </c>
      <c r="L405" s="64" t="s">
        <v>66</v>
      </c>
    </row>
    <row r="406" spans="1:12" x14ac:dyDescent="0.25">
      <c r="A406" s="70" t="s">
        <v>81</v>
      </c>
      <c r="B406" s="31" t="s">
        <v>157</v>
      </c>
      <c r="C406" s="53">
        <v>1</v>
      </c>
      <c r="D406" s="71" t="s">
        <v>204</v>
      </c>
      <c r="E406" s="44" t="s">
        <v>371</v>
      </c>
      <c r="F406" s="70" t="s">
        <v>372</v>
      </c>
      <c r="G406" s="72">
        <v>100</v>
      </c>
      <c r="H406" s="53" t="s">
        <v>207</v>
      </c>
      <c r="I406" s="73">
        <v>1</v>
      </c>
      <c r="J406" s="74">
        <f>IF($D406="무료",0,IF($D406="메뉴",0,IF($D406="프렙",IFERROR(VLOOKUP($E406,'② 프렙 원가'!$B$6:$F$16,5,FALSE),0),IFERROR(VLOOKUP($E406,'① 식재료 단가'!$B$6:$G$123,6,FALSE),0))))</f>
      </c>
      <c r="K406" s="75">
        <f>IF($D406="메뉴",ROUND($G406*$J406,1),IF($I406&gt;0,ROUND($G406/$I406*$J406,1),0))</f>
      </c>
      <c r="L406" s="54" t="s">
        <v>66</v>
      </c>
    </row>
    <row r="407" spans="1:12" x14ac:dyDescent="0.25">
      <c r="A407" s="70" t="s">
        <v>81</v>
      </c>
      <c r="B407" s="31" t="s">
        <v>157</v>
      </c>
      <c r="C407" s="53">
        <v>2</v>
      </c>
      <c r="D407" s="71" t="s">
        <v>204</v>
      </c>
      <c r="E407" s="44" t="s">
        <v>279</v>
      </c>
      <c r="F407" s="70" t="s">
        <v>66</v>
      </c>
      <c r="G407" s="72">
        <v>30</v>
      </c>
      <c r="H407" s="53" t="s">
        <v>207</v>
      </c>
      <c r="I407" s="73">
        <v>1</v>
      </c>
      <c r="J407" s="74">
        <f>IF($D407="무료",0,IF($D407="메뉴",0,IF($D407="프렙",IFERROR(VLOOKUP($E407,'② 프렙 원가'!$B$6:$F$16,5,FALSE),0),IFERROR(VLOOKUP($E407,'① 식재료 단가'!$B$6:$G$123,6,FALSE),0))))</f>
      </c>
      <c r="K407" s="75">
        <f>IF($D407="메뉴",ROUND($G407*$J407,1),IF($I407&gt;0,ROUND($G407/$I407*$J407,1),0))</f>
      </c>
      <c r="L407" s="54" t="s">
        <v>271</v>
      </c>
    </row>
    <row r="408" spans="1:12" x14ac:dyDescent="0.25">
      <c r="A408" s="70" t="s">
        <v>81</v>
      </c>
      <c r="B408" s="31" t="s">
        <v>157</v>
      </c>
      <c r="C408" s="53">
        <v>3</v>
      </c>
      <c r="D408" s="71" t="s">
        <v>204</v>
      </c>
      <c r="E408" s="44" t="s">
        <v>270</v>
      </c>
      <c r="F408" s="70" t="s">
        <v>66</v>
      </c>
      <c r="G408" s="72">
        <v>30</v>
      </c>
      <c r="H408" s="53" t="s">
        <v>207</v>
      </c>
      <c r="I408" s="73">
        <v>1</v>
      </c>
      <c r="J408" s="74">
        <f>IF($D408="무료",0,IF($D408="메뉴",0,IF($D408="프렙",IFERROR(VLOOKUP($E408,'② 프렙 원가'!$B$6:$F$16,5,FALSE),0),IFERROR(VLOOKUP($E408,'① 식재료 단가'!$B$6:$G$123,6,FALSE),0))))</f>
      </c>
      <c r="K408" s="75">
        <f>IF($D408="메뉴",ROUND($G408*$J408,1),IF($I408&gt;0,ROUND($G408/$I408*$J408,1),0))</f>
      </c>
      <c r="L408" s="54" t="s">
        <v>271</v>
      </c>
    </row>
    <row r="409" spans="1:12" x14ac:dyDescent="0.25">
      <c r="A409" s="70" t="s">
        <v>81</v>
      </c>
      <c r="B409" s="31" t="s">
        <v>157</v>
      </c>
      <c r="C409" s="53">
        <v>4</v>
      </c>
      <c r="D409" s="71" t="s">
        <v>204</v>
      </c>
      <c r="E409" s="44" t="s">
        <v>359</v>
      </c>
      <c r="F409" s="70" t="s">
        <v>66</v>
      </c>
      <c r="G409" s="72">
        <v>50</v>
      </c>
      <c r="H409" s="53" t="s">
        <v>207</v>
      </c>
      <c r="I409" s="73">
        <v>1</v>
      </c>
      <c r="J409" s="74">
        <f>IF($D409="무료",0,IF($D409="메뉴",0,IF($D409="프렙",IFERROR(VLOOKUP($E409,'② 프렙 원가'!$B$6:$F$16,5,FALSE),0),IFERROR(VLOOKUP($E409,'① 식재료 단가'!$B$6:$G$123,6,FALSE),0))))</f>
      </c>
      <c r="K409" s="75">
        <f>IF($D409="메뉴",ROUND($G409*$J409,1),IF($I409&gt;0,ROUND($G409/$I409*$J409,1),0))</f>
      </c>
      <c r="L409" s="54" t="s">
        <v>271</v>
      </c>
    </row>
    <row r="410" spans="1:12" x14ac:dyDescent="0.25">
      <c r="A410" s="70" t="s">
        <v>81</v>
      </c>
      <c r="B410" s="31" t="s">
        <v>157</v>
      </c>
      <c r="C410" s="53">
        <v>5</v>
      </c>
      <c r="D410" s="71" t="s">
        <v>204</v>
      </c>
      <c r="E410" s="44" t="s">
        <v>373</v>
      </c>
      <c r="F410" s="70" t="s">
        <v>66</v>
      </c>
      <c r="G410" s="72">
        <v>5</v>
      </c>
      <c r="H410" s="53" t="s">
        <v>207</v>
      </c>
      <c r="I410" s="73">
        <v>1</v>
      </c>
      <c r="J410" s="74">
        <f>IF($D410="무료",0,IF($D410="메뉴",0,IF($D410="프렙",IFERROR(VLOOKUP($E410,'② 프렙 원가'!$B$6:$F$16,5,FALSE),0),IFERROR(VLOOKUP($E410,'① 식재료 단가'!$B$6:$G$123,6,FALSE),0))))</f>
      </c>
      <c r="K410" s="75">
        <f>IF($D410="메뉴",ROUND($G410*$J410,1),IF($I410&gt;0,ROUND($G410/$I410*$J410,1),0))</f>
      </c>
      <c r="L410" s="54" t="s">
        <v>66</v>
      </c>
    </row>
    <row r="411" spans="1:12" x14ac:dyDescent="0.25">
      <c r="A411" s="70" t="s">
        <v>81</v>
      </c>
      <c r="B411" s="31" t="s">
        <v>157</v>
      </c>
      <c r="C411" s="53">
        <v>6</v>
      </c>
      <c r="D411" s="71" t="s">
        <v>204</v>
      </c>
      <c r="E411" s="44" t="s">
        <v>248</v>
      </c>
      <c r="F411" s="70" t="s">
        <v>66</v>
      </c>
      <c r="G411" s="72">
        <v>10</v>
      </c>
      <c r="H411" s="53" t="s">
        <v>207</v>
      </c>
      <c r="I411" s="73">
        <v>1</v>
      </c>
      <c r="J411" s="74">
        <f>IF($D411="무료",0,IF($D411="메뉴",0,IF($D411="프렙",IFERROR(VLOOKUP($E411,'② 프렙 원가'!$B$6:$F$16,5,FALSE),0),IFERROR(VLOOKUP($E411,'① 식재료 단가'!$B$6:$G$123,6,FALSE),0))))</f>
      </c>
      <c r="K411" s="75">
        <f>IF($D411="메뉴",ROUND($G411*$J411,1),IF($I411&gt;0,ROUND($G411/$I411*$J411,1),0))</f>
      </c>
      <c r="L411" s="54" t="s">
        <v>66</v>
      </c>
    </row>
    <row r="412" spans="1:12" x14ac:dyDescent="0.25">
      <c r="A412" s="70" t="s">
        <v>81</v>
      </c>
      <c r="B412" s="31" t="s">
        <v>157</v>
      </c>
      <c r="C412" s="53">
        <v>7</v>
      </c>
      <c r="D412" s="71" t="s">
        <v>204</v>
      </c>
      <c r="E412" s="44" t="s">
        <v>273</v>
      </c>
      <c r="F412" s="70" t="s">
        <v>274</v>
      </c>
      <c r="G412" s="72">
        <v>10</v>
      </c>
      <c r="H412" s="53" t="s">
        <v>207</v>
      </c>
      <c r="I412" s="73">
        <v>1</v>
      </c>
      <c r="J412" s="74">
        <f>IF($D412="무료",0,IF($D412="메뉴",0,IF($D412="프렙",IFERROR(VLOOKUP($E412,'② 프렙 원가'!$B$6:$F$16,5,FALSE),0),IFERROR(VLOOKUP($E412,'① 식재료 단가'!$B$6:$G$123,6,FALSE),0))))</f>
      </c>
      <c r="K412" s="75">
        <f>IF($D412="메뉴",ROUND($G412*$J412,1),IF($I412&gt;0,ROUND($G412/$I412*$J412,1),0))</f>
      </c>
      <c r="L412" s="54" t="s">
        <v>66</v>
      </c>
    </row>
    <row r="413" spans="1:12" x14ac:dyDescent="0.25">
      <c r="A413" s="70" t="s">
        <v>81</v>
      </c>
      <c r="B413" s="31" t="s">
        <v>157</v>
      </c>
      <c r="C413" s="53">
        <v>8</v>
      </c>
      <c r="D413" s="71" t="s">
        <v>204</v>
      </c>
      <c r="E413" s="44" t="s">
        <v>216</v>
      </c>
      <c r="F413" s="70" t="s">
        <v>66</v>
      </c>
      <c r="G413" s="72">
        <v>5</v>
      </c>
      <c r="H413" s="53" t="s">
        <v>207</v>
      </c>
      <c r="I413" s="73">
        <v>1</v>
      </c>
      <c r="J413" s="74">
        <f>IF($D413="무료",0,IF($D413="메뉴",0,IF($D413="프렙",IFERROR(VLOOKUP($E413,'② 프렙 원가'!$B$6:$F$16,5,FALSE),0),IFERROR(VLOOKUP($E413,'① 식재료 단가'!$B$6:$G$123,6,FALSE),0))))</f>
      </c>
      <c r="K413" s="75">
        <f>IF($D413="메뉴",ROUND($G413*$J413,1),IF($I413&gt;0,ROUND($G413/$I413*$J413,1),0))</f>
      </c>
      <c r="L413" s="54" t="s">
        <v>66</v>
      </c>
    </row>
    <row r="414" spans="1:12" x14ac:dyDescent="0.25">
      <c r="A414" s="70" t="s">
        <v>81</v>
      </c>
      <c r="B414" s="31" t="s">
        <v>157</v>
      </c>
      <c r="C414" s="53">
        <v>9</v>
      </c>
      <c r="D414" s="76" t="s">
        <v>209</v>
      </c>
      <c r="E414" s="44" t="s">
        <v>210</v>
      </c>
      <c r="F414" s="70" t="s">
        <v>66</v>
      </c>
      <c r="G414" s="72">
        <v>50</v>
      </c>
      <c r="H414" s="53" t="s">
        <v>207</v>
      </c>
      <c r="I414" s="73">
        <v>1</v>
      </c>
      <c r="J414" s="74">
        <f>IF($D414="무료",0,IF($D414="메뉴",0,IF($D414="프렙",IFERROR(VLOOKUP($E414,'② 프렙 원가'!$B$6:$F$16,5,FALSE),0),IFERROR(VLOOKUP($E414,'① 식재료 단가'!$B$6:$G$123,6,FALSE),0))))</f>
      </c>
      <c r="K414" s="75">
        <f>IF($D414="메뉴",ROUND($G414*$J414,1),IF($I414&gt;0,ROUND($G414/$I414*$J414,1),0))</f>
      </c>
      <c r="L414" s="54" t="s">
        <v>66</v>
      </c>
    </row>
    <row r="415" spans="1:12" x14ac:dyDescent="0.25">
      <c r="A415" s="77" t="s">
        <v>81</v>
      </c>
      <c r="B415" s="36" t="s">
        <v>158</v>
      </c>
      <c r="C415" s="63">
        <v>1</v>
      </c>
      <c r="D415" s="78" t="s">
        <v>204</v>
      </c>
      <c r="E415" s="49" t="s">
        <v>222</v>
      </c>
      <c r="F415" s="77" t="s">
        <v>223</v>
      </c>
      <c r="G415" s="72">
        <v>30</v>
      </c>
      <c r="H415" s="63" t="s">
        <v>207</v>
      </c>
      <c r="I415" s="73">
        <v>1</v>
      </c>
      <c r="J415" s="74">
        <f>IF($D415="무료",0,IF($D415="메뉴",0,IF($D415="프렙",IFERROR(VLOOKUP($E415,'② 프렙 원가'!$B$6:$F$16,5,FALSE),0),IFERROR(VLOOKUP($E415,'① 식재료 단가'!$B$6:$G$123,6,FALSE),0))))</f>
      </c>
      <c r="K415" s="75">
        <f>IF($D415="메뉴",ROUND($G415*$J415,1),IF($I415&gt;0,ROUND($G415/$I415*$J415,1),0))</f>
      </c>
      <c r="L415" s="64" t="s">
        <v>271</v>
      </c>
    </row>
    <row r="416" spans="1:12" x14ac:dyDescent="0.25">
      <c r="A416" s="77" t="s">
        <v>81</v>
      </c>
      <c r="B416" s="36" t="s">
        <v>158</v>
      </c>
      <c r="C416" s="63">
        <v>2</v>
      </c>
      <c r="D416" s="78" t="s">
        <v>204</v>
      </c>
      <c r="E416" s="49" t="s">
        <v>371</v>
      </c>
      <c r="F416" s="77" t="s">
        <v>372</v>
      </c>
      <c r="G416" s="72">
        <v>100</v>
      </c>
      <c r="H416" s="63" t="s">
        <v>207</v>
      </c>
      <c r="I416" s="73">
        <v>1</v>
      </c>
      <c r="J416" s="74">
        <f>IF($D416="무료",0,IF($D416="메뉴",0,IF($D416="프렙",IFERROR(VLOOKUP($E416,'② 프렙 원가'!$B$6:$F$16,5,FALSE),0),IFERROR(VLOOKUP($E416,'① 식재료 단가'!$B$6:$G$123,6,FALSE),0))))</f>
      </c>
      <c r="K416" s="75">
        <f>IF($D416="메뉴",ROUND($G416*$J416,1),IF($I416&gt;0,ROUND($G416/$I416*$J416,1),0))</f>
      </c>
      <c r="L416" s="64" t="s">
        <v>66</v>
      </c>
    </row>
    <row r="417" spans="1:12" x14ac:dyDescent="0.25">
      <c r="A417" s="77" t="s">
        <v>81</v>
      </c>
      <c r="B417" s="36" t="s">
        <v>158</v>
      </c>
      <c r="C417" s="63">
        <v>3</v>
      </c>
      <c r="D417" s="78" t="s">
        <v>204</v>
      </c>
      <c r="E417" s="49" t="s">
        <v>279</v>
      </c>
      <c r="F417" s="77" t="s">
        <v>66</v>
      </c>
      <c r="G417" s="72">
        <v>30</v>
      </c>
      <c r="H417" s="63" t="s">
        <v>207</v>
      </c>
      <c r="I417" s="73">
        <v>1</v>
      </c>
      <c r="J417" s="74">
        <f>IF($D417="무료",0,IF($D417="메뉴",0,IF($D417="프렙",IFERROR(VLOOKUP($E417,'② 프렙 원가'!$B$6:$F$16,5,FALSE),0),IFERROR(VLOOKUP($E417,'① 식재료 단가'!$B$6:$G$123,6,FALSE),0))))</f>
      </c>
      <c r="K417" s="75">
        <f>IF($D417="메뉴",ROUND($G417*$J417,1),IF($I417&gt;0,ROUND($G417/$I417*$J417,1),0))</f>
      </c>
      <c r="L417" s="64" t="s">
        <v>271</v>
      </c>
    </row>
    <row r="418" spans="1:12" x14ac:dyDescent="0.25">
      <c r="A418" s="77" t="s">
        <v>81</v>
      </c>
      <c r="B418" s="36" t="s">
        <v>158</v>
      </c>
      <c r="C418" s="63">
        <v>4</v>
      </c>
      <c r="D418" s="78" t="s">
        <v>204</v>
      </c>
      <c r="E418" s="49" t="s">
        <v>270</v>
      </c>
      <c r="F418" s="77" t="s">
        <v>66</v>
      </c>
      <c r="G418" s="72">
        <v>30</v>
      </c>
      <c r="H418" s="63" t="s">
        <v>207</v>
      </c>
      <c r="I418" s="73">
        <v>1</v>
      </c>
      <c r="J418" s="74">
        <f>IF($D418="무료",0,IF($D418="메뉴",0,IF($D418="프렙",IFERROR(VLOOKUP($E418,'② 프렙 원가'!$B$6:$F$16,5,FALSE),0),IFERROR(VLOOKUP($E418,'① 식재료 단가'!$B$6:$G$123,6,FALSE),0))))</f>
      </c>
      <c r="K418" s="75">
        <f>IF($D418="메뉴",ROUND($G418*$J418,1),IF($I418&gt;0,ROUND($G418/$I418*$J418,1),0))</f>
      </c>
      <c r="L418" s="64" t="s">
        <v>271</v>
      </c>
    </row>
    <row r="419" spans="1:12" x14ac:dyDescent="0.25">
      <c r="A419" s="77" t="s">
        <v>81</v>
      </c>
      <c r="B419" s="36" t="s">
        <v>158</v>
      </c>
      <c r="C419" s="63">
        <v>5</v>
      </c>
      <c r="D419" s="78" t="s">
        <v>204</v>
      </c>
      <c r="E419" s="49" t="s">
        <v>359</v>
      </c>
      <c r="F419" s="77" t="s">
        <v>66</v>
      </c>
      <c r="G419" s="72">
        <v>50</v>
      </c>
      <c r="H419" s="63" t="s">
        <v>207</v>
      </c>
      <c r="I419" s="73">
        <v>1</v>
      </c>
      <c r="J419" s="74">
        <f>IF($D419="무료",0,IF($D419="메뉴",0,IF($D419="프렙",IFERROR(VLOOKUP($E419,'② 프렙 원가'!$B$6:$F$16,5,FALSE),0),IFERROR(VLOOKUP($E419,'① 식재료 단가'!$B$6:$G$123,6,FALSE),0))))</f>
      </c>
      <c r="K419" s="75">
        <f>IF($D419="메뉴",ROUND($G419*$J419,1),IF($I419&gt;0,ROUND($G419/$I419*$J419,1),0))</f>
      </c>
      <c r="L419" s="64" t="s">
        <v>271</v>
      </c>
    </row>
    <row r="420" spans="1:12" x14ac:dyDescent="0.25">
      <c r="A420" s="77" t="s">
        <v>81</v>
      </c>
      <c r="B420" s="36" t="s">
        <v>158</v>
      </c>
      <c r="C420" s="63">
        <v>6</v>
      </c>
      <c r="D420" s="78" t="s">
        <v>204</v>
      </c>
      <c r="E420" s="49" t="s">
        <v>373</v>
      </c>
      <c r="F420" s="77" t="s">
        <v>66</v>
      </c>
      <c r="G420" s="72">
        <v>5</v>
      </c>
      <c r="H420" s="63" t="s">
        <v>207</v>
      </c>
      <c r="I420" s="73">
        <v>1</v>
      </c>
      <c r="J420" s="74">
        <f>IF($D420="무료",0,IF($D420="메뉴",0,IF($D420="프렙",IFERROR(VLOOKUP($E420,'② 프렙 원가'!$B$6:$F$16,5,FALSE),0),IFERROR(VLOOKUP($E420,'① 식재료 단가'!$B$6:$G$123,6,FALSE),0))))</f>
      </c>
      <c r="K420" s="75">
        <f>IF($D420="메뉴",ROUND($G420*$J420,1),IF($I420&gt;0,ROUND($G420/$I420*$J420,1),0))</f>
      </c>
      <c r="L420" s="64" t="s">
        <v>66</v>
      </c>
    </row>
    <row r="421" spans="1:12" x14ac:dyDescent="0.25">
      <c r="A421" s="77" t="s">
        <v>81</v>
      </c>
      <c r="B421" s="36" t="s">
        <v>158</v>
      </c>
      <c r="C421" s="63">
        <v>7</v>
      </c>
      <c r="D421" s="78" t="s">
        <v>204</v>
      </c>
      <c r="E421" s="49" t="s">
        <v>248</v>
      </c>
      <c r="F421" s="77" t="s">
        <v>66</v>
      </c>
      <c r="G421" s="72">
        <v>10</v>
      </c>
      <c r="H421" s="63" t="s">
        <v>207</v>
      </c>
      <c r="I421" s="73">
        <v>1</v>
      </c>
      <c r="J421" s="74">
        <f>IF($D421="무료",0,IF($D421="메뉴",0,IF($D421="프렙",IFERROR(VLOOKUP($E421,'② 프렙 원가'!$B$6:$F$16,5,FALSE),0),IFERROR(VLOOKUP($E421,'① 식재료 단가'!$B$6:$G$123,6,FALSE),0))))</f>
      </c>
      <c r="K421" s="75">
        <f>IF($D421="메뉴",ROUND($G421*$J421,1),IF($I421&gt;0,ROUND($G421/$I421*$J421,1),0))</f>
      </c>
      <c r="L421" s="64" t="s">
        <v>66</v>
      </c>
    </row>
    <row r="422" spans="1:12" x14ac:dyDescent="0.25">
      <c r="A422" s="77" t="s">
        <v>81</v>
      </c>
      <c r="B422" s="36" t="s">
        <v>158</v>
      </c>
      <c r="C422" s="63">
        <v>8</v>
      </c>
      <c r="D422" s="78" t="s">
        <v>204</v>
      </c>
      <c r="E422" s="49" t="s">
        <v>273</v>
      </c>
      <c r="F422" s="77" t="s">
        <v>274</v>
      </c>
      <c r="G422" s="72">
        <v>10</v>
      </c>
      <c r="H422" s="63" t="s">
        <v>207</v>
      </c>
      <c r="I422" s="73">
        <v>1</v>
      </c>
      <c r="J422" s="74">
        <f>IF($D422="무료",0,IF($D422="메뉴",0,IF($D422="프렙",IFERROR(VLOOKUP($E422,'② 프렙 원가'!$B$6:$F$16,5,FALSE),0),IFERROR(VLOOKUP($E422,'① 식재료 단가'!$B$6:$G$123,6,FALSE),0))))</f>
      </c>
      <c r="K422" s="75">
        <f>IF($D422="메뉴",ROUND($G422*$J422,1),IF($I422&gt;0,ROUND($G422/$I422*$J422,1),0))</f>
      </c>
      <c r="L422" s="64" t="s">
        <v>66</v>
      </c>
    </row>
    <row r="423" spans="1:12" x14ac:dyDescent="0.25">
      <c r="A423" s="77" t="s">
        <v>81</v>
      </c>
      <c r="B423" s="36" t="s">
        <v>158</v>
      </c>
      <c r="C423" s="63">
        <v>9</v>
      </c>
      <c r="D423" s="78" t="s">
        <v>204</v>
      </c>
      <c r="E423" s="49" t="s">
        <v>216</v>
      </c>
      <c r="F423" s="77" t="s">
        <v>66</v>
      </c>
      <c r="G423" s="72">
        <v>5</v>
      </c>
      <c r="H423" s="63" t="s">
        <v>207</v>
      </c>
      <c r="I423" s="73">
        <v>1</v>
      </c>
      <c r="J423" s="74">
        <f>IF($D423="무료",0,IF($D423="메뉴",0,IF($D423="프렙",IFERROR(VLOOKUP($E423,'② 프렙 원가'!$B$6:$F$16,5,FALSE),0),IFERROR(VLOOKUP($E423,'① 식재료 단가'!$B$6:$G$123,6,FALSE),0))))</f>
      </c>
      <c r="K423" s="75">
        <f>IF($D423="메뉴",ROUND($G423*$J423,1),IF($I423&gt;0,ROUND($G423/$I423*$J423,1),0))</f>
      </c>
      <c r="L423" s="64" t="s">
        <v>66</v>
      </c>
    </row>
    <row r="424" spans="1:12" x14ac:dyDescent="0.25">
      <c r="A424" s="77" t="s">
        <v>81</v>
      </c>
      <c r="B424" s="36" t="s">
        <v>158</v>
      </c>
      <c r="C424" s="63">
        <v>10</v>
      </c>
      <c r="D424" s="78" t="s">
        <v>204</v>
      </c>
      <c r="E424" s="49" t="s">
        <v>378</v>
      </c>
      <c r="F424" s="77" t="s">
        <v>66</v>
      </c>
      <c r="G424" s="72">
        <v>5</v>
      </c>
      <c r="H424" s="63" t="s">
        <v>207</v>
      </c>
      <c r="I424" s="73">
        <v>1</v>
      </c>
      <c r="J424" s="74">
        <f>IF($D424="무료",0,IF($D424="메뉴",0,IF($D424="프렙",IFERROR(VLOOKUP($E424,'② 프렙 원가'!$B$6:$F$16,5,FALSE),0),IFERROR(VLOOKUP($E424,'① 식재료 단가'!$B$6:$G$123,6,FALSE),0))))</f>
      </c>
      <c r="K424" s="75">
        <f>IF($D424="메뉴",ROUND($G424*$J424,1),IF($I424&gt;0,ROUND($G424/$I424*$J424,1),0))</f>
      </c>
      <c r="L424" s="64" t="s">
        <v>392</v>
      </c>
    </row>
    <row r="425" spans="1:12" x14ac:dyDescent="0.25">
      <c r="A425" s="70" t="s">
        <v>82</v>
      </c>
      <c r="B425" s="31" t="s">
        <v>159</v>
      </c>
      <c r="C425" s="53">
        <v>1</v>
      </c>
      <c r="D425" s="71" t="s">
        <v>204</v>
      </c>
      <c r="E425" s="44" t="s">
        <v>393</v>
      </c>
      <c r="F425" s="70" t="s">
        <v>394</v>
      </c>
      <c r="G425" s="72">
        <v>17</v>
      </c>
      <c r="H425" s="53" t="s">
        <v>207</v>
      </c>
      <c r="I425" s="73">
        <v>1</v>
      </c>
      <c r="J425" s="74">
        <f>IF($D425="무료",0,IF($D425="메뉴",0,IF($D425="프렙",IFERROR(VLOOKUP($E425,'② 프렙 원가'!$B$6:$F$16,5,FALSE),0),IFERROR(VLOOKUP($E425,'① 식재료 단가'!$B$6:$G$123,6,FALSE),0))))</f>
      </c>
      <c r="K425" s="75">
        <f>IF($D425="메뉴",ROUND($G425*$J425,1),IF($I425&gt;0,ROUND($G425/$I425*$J425,1),0))</f>
      </c>
      <c r="L425" s="54" t="s">
        <v>66</v>
      </c>
    </row>
    <row r="426" spans="1:12" x14ac:dyDescent="0.25">
      <c r="A426" s="70" t="s">
        <v>82</v>
      </c>
      <c r="B426" s="31" t="s">
        <v>159</v>
      </c>
      <c r="C426" s="53">
        <v>2</v>
      </c>
      <c r="D426" s="71" t="s">
        <v>204</v>
      </c>
      <c r="E426" s="44" t="s">
        <v>310</v>
      </c>
      <c r="F426" s="70" t="s">
        <v>66</v>
      </c>
      <c r="G426" s="72">
        <v>30</v>
      </c>
      <c r="H426" s="53" t="s">
        <v>207</v>
      </c>
      <c r="I426" s="73">
        <v>1</v>
      </c>
      <c r="J426" s="74">
        <f>IF($D426="무료",0,IF($D426="메뉴",0,IF($D426="프렙",IFERROR(VLOOKUP($E426,'② 프렙 원가'!$B$6:$F$16,5,FALSE),0),IFERROR(VLOOKUP($E426,'① 식재료 단가'!$B$6:$G$123,6,FALSE),0))))</f>
      </c>
      <c r="K426" s="75">
        <f>IF($D426="메뉴",ROUND($G426*$J426,1),IF($I426&gt;0,ROUND($G426/$I426*$J426,1),0))</f>
      </c>
      <c r="L426" s="54" t="s">
        <v>395</v>
      </c>
    </row>
    <row r="427" spans="1:12" x14ac:dyDescent="0.25">
      <c r="A427" s="70" t="s">
        <v>82</v>
      </c>
      <c r="B427" s="31" t="s">
        <v>159</v>
      </c>
      <c r="C427" s="53">
        <v>3</v>
      </c>
      <c r="D427" s="80" t="s">
        <v>396</v>
      </c>
      <c r="E427" s="44" t="s">
        <v>397</v>
      </c>
      <c r="F427" s="70" t="s">
        <v>398</v>
      </c>
      <c r="G427" s="72">
        <v>250</v>
      </c>
      <c r="H427" s="53" t="s">
        <v>207</v>
      </c>
      <c r="I427" s="73">
        <v>1</v>
      </c>
      <c r="J427" s="74">
        <f>IF($D427="무료",0,IF($D427="메뉴",0,IF($D427="프렙",IFERROR(VLOOKUP($E427,'② 프렙 원가'!$B$6:$F$16,5,FALSE),0),IFERROR(VLOOKUP($E427,'① 식재료 단가'!$B$6:$G$123,6,FALSE),0))))</f>
      </c>
      <c r="K427" s="75">
        <f>IF($D427="메뉴",ROUND($G427*$J427,1),IF($I427&gt;0,ROUND($G427/$I427*$J427,1),0))</f>
      </c>
      <c r="L427" s="54" t="s">
        <v>66</v>
      </c>
    </row>
    <row r="428" spans="1:12" x14ac:dyDescent="0.25">
      <c r="A428" s="70" t="s">
        <v>82</v>
      </c>
      <c r="B428" s="31" t="s">
        <v>159</v>
      </c>
      <c r="C428" s="53">
        <v>4</v>
      </c>
      <c r="D428" s="71" t="s">
        <v>204</v>
      </c>
      <c r="E428" s="44" t="s">
        <v>216</v>
      </c>
      <c r="F428" s="70" t="s">
        <v>66</v>
      </c>
      <c r="G428" s="72">
        <v>3</v>
      </c>
      <c r="H428" s="53" t="s">
        <v>207</v>
      </c>
      <c r="I428" s="73">
        <v>1</v>
      </c>
      <c r="J428" s="74">
        <f>IF($D428="무료",0,IF($D428="메뉴",0,IF($D428="프렙",IFERROR(VLOOKUP($E428,'② 프렙 원가'!$B$6:$F$16,5,FALSE),0),IFERROR(VLOOKUP($E428,'① 식재료 단가'!$B$6:$G$123,6,FALSE),0))))</f>
      </c>
      <c r="K428" s="75">
        <f>IF($D428="메뉴",ROUND($G428*$J428,1),IF($I428&gt;0,ROUND($G428/$I428*$J428,1),0))</f>
      </c>
      <c r="L428" s="54" t="s">
        <v>66</v>
      </c>
    </row>
    <row r="429" spans="1:12" x14ac:dyDescent="0.25">
      <c r="A429" s="70" t="s">
        <v>82</v>
      </c>
      <c r="B429" s="31" t="s">
        <v>159</v>
      </c>
      <c r="C429" s="53">
        <v>5</v>
      </c>
      <c r="D429" s="71" t="s">
        <v>204</v>
      </c>
      <c r="E429" s="44" t="s">
        <v>391</v>
      </c>
      <c r="F429" s="70" t="s">
        <v>66</v>
      </c>
      <c r="G429" s="72">
        <v>1</v>
      </c>
      <c r="H429" s="53" t="s">
        <v>207</v>
      </c>
      <c r="I429" s="73">
        <v>1</v>
      </c>
      <c r="J429" s="74">
        <f>IF($D429="무료",0,IF($D429="메뉴",0,IF($D429="프렙",IFERROR(VLOOKUP($E429,'② 프렙 원가'!$B$6:$F$16,5,FALSE),0),IFERROR(VLOOKUP($E429,'① 식재료 단가'!$B$6:$G$123,6,FALSE),0))))</f>
      </c>
      <c r="K429" s="75">
        <f>IF($D429="메뉴",ROUND($G429*$J429,1),IF($I429&gt;0,ROUND($G429/$I429*$J429,1),0))</f>
      </c>
      <c r="L429" s="54" t="s">
        <v>66</v>
      </c>
    </row>
    <row r="430" spans="1:12" x14ac:dyDescent="0.25">
      <c r="A430" s="77" t="s">
        <v>82</v>
      </c>
      <c r="B430" s="36" t="s">
        <v>160</v>
      </c>
      <c r="C430" s="63">
        <v>1</v>
      </c>
      <c r="D430" s="78" t="s">
        <v>204</v>
      </c>
      <c r="E430" s="49" t="s">
        <v>393</v>
      </c>
      <c r="F430" s="77" t="s">
        <v>394</v>
      </c>
      <c r="G430" s="72">
        <v>17</v>
      </c>
      <c r="H430" s="63" t="s">
        <v>207</v>
      </c>
      <c r="I430" s="73">
        <v>1</v>
      </c>
      <c r="J430" s="74">
        <f>IF($D430="무료",0,IF($D430="메뉴",0,IF($D430="프렙",IFERROR(VLOOKUP($E430,'② 프렙 원가'!$B$6:$F$16,5,FALSE),0),IFERROR(VLOOKUP($E430,'① 식재료 단가'!$B$6:$G$123,6,FALSE),0))))</f>
      </c>
      <c r="K430" s="75">
        <f>IF($D430="메뉴",ROUND($G430*$J430,1),IF($I430&gt;0,ROUND($G430/$I430*$J430,1),0))</f>
      </c>
      <c r="L430" s="64" t="s">
        <v>66</v>
      </c>
    </row>
    <row r="431" spans="1:12" x14ac:dyDescent="0.25">
      <c r="A431" s="77" t="s">
        <v>82</v>
      </c>
      <c r="B431" s="36" t="s">
        <v>160</v>
      </c>
      <c r="C431" s="63">
        <v>2</v>
      </c>
      <c r="D431" s="78" t="s">
        <v>204</v>
      </c>
      <c r="E431" s="49" t="s">
        <v>222</v>
      </c>
      <c r="F431" s="77" t="s">
        <v>223</v>
      </c>
      <c r="G431" s="72">
        <v>20</v>
      </c>
      <c r="H431" s="63" t="s">
        <v>207</v>
      </c>
      <c r="I431" s="73">
        <v>1</v>
      </c>
      <c r="J431" s="74">
        <f>IF($D431="무료",0,IF($D431="메뉴",0,IF($D431="프렙",IFERROR(VLOOKUP($E431,'② 프렙 원가'!$B$6:$F$16,5,FALSE),0),IFERROR(VLOOKUP($E431,'① 식재료 단가'!$B$6:$G$123,6,FALSE),0))))</f>
      </c>
      <c r="K431" s="75">
        <f>IF($D431="메뉴",ROUND($G431*$J431,1),IF($I431&gt;0,ROUND($G431/$I431*$J431,1),0))</f>
      </c>
      <c r="L431" s="64" t="s">
        <v>395</v>
      </c>
    </row>
    <row r="432" spans="1:12" x14ac:dyDescent="0.25">
      <c r="A432" s="77" t="s">
        <v>82</v>
      </c>
      <c r="B432" s="36" t="s">
        <v>160</v>
      </c>
      <c r="C432" s="63">
        <v>3</v>
      </c>
      <c r="D432" s="81" t="s">
        <v>396</v>
      </c>
      <c r="E432" s="49" t="s">
        <v>397</v>
      </c>
      <c r="F432" s="77" t="s">
        <v>399</v>
      </c>
      <c r="G432" s="72">
        <v>250</v>
      </c>
      <c r="H432" s="63" t="s">
        <v>207</v>
      </c>
      <c r="I432" s="73">
        <v>1</v>
      </c>
      <c r="J432" s="74">
        <f>IF($D432="무료",0,IF($D432="메뉴",0,IF($D432="프렙",IFERROR(VLOOKUP($E432,'② 프렙 원가'!$B$6:$F$16,5,FALSE),0),IFERROR(VLOOKUP($E432,'① 식재료 단가'!$B$6:$G$123,6,FALSE),0))))</f>
      </c>
      <c r="K432" s="75">
        <f>IF($D432="메뉴",ROUND($G432*$J432,1),IF($I432&gt;0,ROUND($G432/$I432*$J432,1),0))</f>
      </c>
      <c r="L432" s="64" t="s">
        <v>66</v>
      </c>
    </row>
    <row r="433" spans="1:12" x14ac:dyDescent="0.25">
      <c r="A433" s="77" t="s">
        <v>82</v>
      </c>
      <c r="B433" s="36" t="s">
        <v>160</v>
      </c>
      <c r="C433" s="63">
        <v>4</v>
      </c>
      <c r="D433" s="78" t="s">
        <v>204</v>
      </c>
      <c r="E433" s="49" t="s">
        <v>216</v>
      </c>
      <c r="F433" s="77" t="s">
        <v>66</v>
      </c>
      <c r="G433" s="72">
        <v>3</v>
      </c>
      <c r="H433" s="63" t="s">
        <v>207</v>
      </c>
      <c r="I433" s="73">
        <v>1</v>
      </c>
      <c r="J433" s="74">
        <f>IF($D433="무료",0,IF($D433="메뉴",0,IF($D433="프렙",IFERROR(VLOOKUP($E433,'② 프렙 원가'!$B$6:$F$16,5,FALSE),0),IFERROR(VLOOKUP($E433,'① 식재료 단가'!$B$6:$G$123,6,FALSE),0))))</f>
      </c>
      <c r="K433" s="75">
        <f>IF($D433="메뉴",ROUND($G433*$J433,1),IF($I433&gt;0,ROUND($G433/$I433*$J433,1),0))</f>
      </c>
      <c r="L433" s="64" t="s">
        <v>66</v>
      </c>
    </row>
    <row r="434" spans="1:12" x14ac:dyDescent="0.25">
      <c r="A434" s="77" t="s">
        <v>82</v>
      </c>
      <c r="B434" s="36" t="s">
        <v>160</v>
      </c>
      <c r="C434" s="63">
        <v>5</v>
      </c>
      <c r="D434" s="78" t="s">
        <v>204</v>
      </c>
      <c r="E434" s="49" t="s">
        <v>391</v>
      </c>
      <c r="F434" s="77" t="s">
        <v>66</v>
      </c>
      <c r="G434" s="72">
        <v>1</v>
      </c>
      <c r="H434" s="63" t="s">
        <v>207</v>
      </c>
      <c r="I434" s="73">
        <v>1</v>
      </c>
      <c r="J434" s="74">
        <f>IF($D434="무료",0,IF($D434="메뉴",0,IF($D434="프렙",IFERROR(VLOOKUP($E434,'② 프렙 원가'!$B$6:$F$16,5,FALSE),0),IFERROR(VLOOKUP($E434,'① 식재료 단가'!$B$6:$G$123,6,FALSE),0))))</f>
      </c>
      <c r="K434" s="75">
        <f>IF($D434="메뉴",ROUND($G434*$J434,1),IF($I434&gt;0,ROUND($G434/$I434*$J434,1),0))</f>
      </c>
      <c r="L434" s="64" t="s">
        <v>66</v>
      </c>
    </row>
    <row r="435" spans="1:12" x14ac:dyDescent="0.25">
      <c r="A435" s="70" t="s">
        <v>82</v>
      </c>
      <c r="B435" s="31" t="s">
        <v>161</v>
      </c>
      <c r="C435" s="53">
        <v>1</v>
      </c>
      <c r="D435" s="71" t="s">
        <v>204</v>
      </c>
      <c r="E435" s="44" t="s">
        <v>222</v>
      </c>
      <c r="F435" s="70" t="s">
        <v>223</v>
      </c>
      <c r="G435" s="72">
        <v>20</v>
      </c>
      <c r="H435" s="53" t="s">
        <v>207</v>
      </c>
      <c r="I435" s="73">
        <v>1</v>
      </c>
      <c r="J435" s="74">
        <f>IF($D435="무료",0,IF($D435="메뉴",0,IF($D435="프렙",IFERROR(VLOOKUP($E435,'② 프렙 원가'!$B$6:$F$16,5,FALSE),0),IFERROR(VLOOKUP($E435,'① 식재료 단가'!$B$6:$G$123,6,FALSE),0))))</f>
      </c>
      <c r="K435" s="75">
        <f>IF($D435="메뉴",ROUND($G435*$J435,1),IF($I435&gt;0,ROUND($G435/$I435*$J435,1),0))</f>
      </c>
      <c r="L435" s="54" t="s">
        <v>271</v>
      </c>
    </row>
    <row r="436" spans="1:12" x14ac:dyDescent="0.25">
      <c r="A436" s="70" t="s">
        <v>82</v>
      </c>
      <c r="B436" s="31" t="s">
        <v>161</v>
      </c>
      <c r="C436" s="53">
        <v>2</v>
      </c>
      <c r="D436" s="71" t="s">
        <v>204</v>
      </c>
      <c r="E436" s="44" t="s">
        <v>312</v>
      </c>
      <c r="F436" s="70" t="s">
        <v>313</v>
      </c>
      <c r="G436" s="72">
        <v>30</v>
      </c>
      <c r="H436" s="53" t="s">
        <v>207</v>
      </c>
      <c r="I436" s="73">
        <v>1</v>
      </c>
      <c r="J436" s="74">
        <f>IF($D436="무료",0,IF($D436="메뉴",0,IF($D436="프렙",IFERROR(VLOOKUP($E436,'② 프렙 원가'!$B$6:$F$16,5,FALSE),0),IFERROR(VLOOKUP($E436,'① 식재료 단가'!$B$6:$G$123,6,FALSE),0))))</f>
      </c>
      <c r="K436" s="75">
        <f>IF($D436="메뉴",ROUND($G436*$J436,1),IF($I436&gt;0,ROUND($G436/$I436*$J436,1),0))</f>
      </c>
      <c r="L436" s="54" t="s">
        <v>66</v>
      </c>
    </row>
    <row r="437" spans="1:12" x14ac:dyDescent="0.25">
      <c r="A437" s="70" t="s">
        <v>82</v>
      </c>
      <c r="B437" s="31" t="s">
        <v>161</v>
      </c>
      <c r="C437" s="53">
        <v>3</v>
      </c>
      <c r="D437" s="71" t="s">
        <v>204</v>
      </c>
      <c r="E437" s="44" t="s">
        <v>243</v>
      </c>
      <c r="F437" s="70" t="s">
        <v>66</v>
      </c>
      <c r="G437" s="72">
        <v>10</v>
      </c>
      <c r="H437" s="53" t="s">
        <v>207</v>
      </c>
      <c r="I437" s="73">
        <v>1</v>
      </c>
      <c r="J437" s="74">
        <f>IF($D437="무료",0,IF($D437="메뉴",0,IF($D437="프렙",IFERROR(VLOOKUP($E437,'② 프렙 원가'!$B$6:$F$16,5,FALSE),0),IFERROR(VLOOKUP($E437,'① 식재료 단가'!$B$6:$G$123,6,FALSE),0))))</f>
      </c>
      <c r="K437" s="75">
        <f>IF($D437="메뉴",ROUND($G437*$J437,1),IF($I437&gt;0,ROUND($G437/$I437*$J437,1),0))</f>
      </c>
      <c r="L437" s="54" t="s">
        <v>242</v>
      </c>
    </row>
    <row r="438" spans="1:12" x14ac:dyDescent="0.25">
      <c r="A438" s="70" t="s">
        <v>82</v>
      </c>
      <c r="B438" s="31" t="s">
        <v>161</v>
      </c>
      <c r="C438" s="53">
        <v>4</v>
      </c>
      <c r="D438" s="71" t="s">
        <v>204</v>
      </c>
      <c r="E438" s="44" t="s">
        <v>232</v>
      </c>
      <c r="F438" s="70" t="s">
        <v>66</v>
      </c>
      <c r="G438" s="72">
        <v>10</v>
      </c>
      <c r="H438" s="53" t="s">
        <v>207</v>
      </c>
      <c r="I438" s="73">
        <v>1</v>
      </c>
      <c r="J438" s="74">
        <f>IF($D438="무료",0,IF($D438="메뉴",0,IF($D438="프렙",IFERROR(VLOOKUP($E438,'② 프렙 원가'!$B$6:$F$16,5,FALSE),0),IFERROR(VLOOKUP($E438,'① 식재료 단가'!$B$6:$G$123,6,FALSE),0))))</f>
      </c>
      <c r="K438" s="75">
        <f>IF($D438="메뉴",ROUND($G438*$J438,1),IF($I438&gt;0,ROUND($G438/$I438*$J438,1),0))</f>
      </c>
      <c r="L438" s="54" t="s">
        <v>400</v>
      </c>
    </row>
    <row r="439" spans="1:12" x14ac:dyDescent="0.25">
      <c r="A439" s="70" t="s">
        <v>82</v>
      </c>
      <c r="B439" s="31" t="s">
        <v>161</v>
      </c>
      <c r="C439" s="53">
        <v>5</v>
      </c>
      <c r="D439" s="71" t="s">
        <v>204</v>
      </c>
      <c r="E439" s="44" t="s">
        <v>236</v>
      </c>
      <c r="F439" s="70" t="s">
        <v>66</v>
      </c>
      <c r="G439" s="72">
        <v>10</v>
      </c>
      <c r="H439" s="53" t="s">
        <v>207</v>
      </c>
      <c r="I439" s="73">
        <v>1</v>
      </c>
      <c r="J439" s="74">
        <f>IF($D439="무료",0,IF($D439="메뉴",0,IF($D439="프렙",IFERROR(VLOOKUP($E439,'② 프렙 원가'!$B$6:$F$16,5,FALSE),0),IFERROR(VLOOKUP($E439,'① 식재료 단가'!$B$6:$G$123,6,FALSE),0))))</f>
      </c>
      <c r="K439" s="75">
        <f>IF($D439="메뉴",ROUND($G439*$J439,1),IF($I439&gt;0,ROUND($G439/$I439*$J439,1),0))</f>
      </c>
      <c r="L439" s="54" t="s">
        <v>401</v>
      </c>
    </row>
    <row r="440" spans="1:12" x14ac:dyDescent="0.25">
      <c r="A440" s="70" t="s">
        <v>82</v>
      </c>
      <c r="B440" s="31" t="s">
        <v>161</v>
      </c>
      <c r="C440" s="53">
        <v>6</v>
      </c>
      <c r="D440" s="71" t="s">
        <v>204</v>
      </c>
      <c r="E440" s="44" t="s">
        <v>287</v>
      </c>
      <c r="F440" s="70" t="s">
        <v>66</v>
      </c>
      <c r="G440" s="72">
        <v>10</v>
      </c>
      <c r="H440" s="53" t="s">
        <v>207</v>
      </c>
      <c r="I440" s="73">
        <v>1</v>
      </c>
      <c r="J440" s="74">
        <f>IF($D440="무료",0,IF($D440="메뉴",0,IF($D440="프렙",IFERROR(VLOOKUP($E440,'② 프렙 원가'!$B$6:$F$16,5,FALSE),0),IFERROR(VLOOKUP($E440,'① 식재료 단가'!$B$6:$G$123,6,FALSE),0))))</f>
      </c>
      <c r="K440" s="75">
        <f>IF($D440="메뉴",ROUND($G440*$J440,1),IF($I440&gt;0,ROUND($G440/$I440*$J440,1),0))</f>
      </c>
      <c r="L440" s="54" t="s">
        <v>402</v>
      </c>
    </row>
    <row r="441" spans="1:12" x14ac:dyDescent="0.25">
      <c r="A441" s="70" t="s">
        <v>82</v>
      </c>
      <c r="B441" s="31" t="s">
        <v>161</v>
      </c>
      <c r="C441" s="53">
        <v>7</v>
      </c>
      <c r="D441" s="71" t="s">
        <v>204</v>
      </c>
      <c r="E441" s="44" t="s">
        <v>216</v>
      </c>
      <c r="F441" s="70" t="s">
        <v>66</v>
      </c>
      <c r="G441" s="72">
        <v>10</v>
      </c>
      <c r="H441" s="53" t="s">
        <v>207</v>
      </c>
      <c r="I441" s="73">
        <v>1</v>
      </c>
      <c r="J441" s="74">
        <f>IF($D441="무료",0,IF($D441="메뉴",0,IF($D441="프렙",IFERROR(VLOOKUP($E441,'② 프렙 원가'!$B$6:$F$16,5,FALSE),0),IFERROR(VLOOKUP($E441,'① 식재료 단가'!$B$6:$G$123,6,FALSE),0))))</f>
      </c>
      <c r="K441" s="75">
        <f>IF($D441="메뉴",ROUND($G441*$J441,1),IF($I441&gt;0,ROUND($G441/$I441*$J441,1),0))</f>
      </c>
      <c r="L441" s="54" t="s">
        <v>66</v>
      </c>
    </row>
    <row r="442" spans="1:12" x14ac:dyDescent="0.25">
      <c r="A442" s="70" t="s">
        <v>82</v>
      </c>
      <c r="B442" s="31" t="s">
        <v>161</v>
      </c>
      <c r="C442" s="53">
        <v>8</v>
      </c>
      <c r="D442" s="80" t="s">
        <v>396</v>
      </c>
      <c r="E442" s="44" t="s">
        <v>397</v>
      </c>
      <c r="F442" s="70" t="s">
        <v>403</v>
      </c>
      <c r="G442" s="72">
        <v>300</v>
      </c>
      <c r="H442" s="53" t="s">
        <v>207</v>
      </c>
      <c r="I442" s="73">
        <v>1</v>
      </c>
      <c r="J442" s="74">
        <f>IF($D442="무료",0,IF($D442="메뉴",0,IF($D442="프렙",IFERROR(VLOOKUP($E442,'② 프렙 원가'!$B$6:$F$16,5,FALSE),0),IFERROR(VLOOKUP($E442,'① 식재료 단가'!$B$6:$G$123,6,FALSE),0))))</f>
      </c>
      <c r="K442" s="75">
        <f>IF($D442="메뉴",ROUND($G442*$J442,1),IF($I442&gt;0,ROUND($G442/$I442*$J442,1),0))</f>
      </c>
      <c r="L442" s="54" t="s">
        <v>66</v>
      </c>
    </row>
    <row r="443" spans="1:12" x14ac:dyDescent="0.25">
      <c r="A443" s="77" t="s">
        <v>83</v>
      </c>
      <c r="B443" s="36" t="s">
        <v>162</v>
      </c>
      <c r="C443" s="63">
        <v>1</v>
      </c>
      <c r="D443" s="78" t="s">
        <v>204</v>
      </c>
      <c r="E443" s="49" t="s">
        <v>308</v>
      </c>
      <c r="F443" s="77" t="s">
        <v>66</v>
      </c>
      <c r="G443" s="72">
        <v>100</v>
      </c>
      <c r="H443" s="63" t="s">
        <v>207</v>
      </c>
      <c r="I443" s="73">
        <v>1</v>
      </c>
      <c r="J443" s="74">
        <f>IF($D443="무료",0,IF($D443="메뉴",0,IF($D443="프렙",IFERROR(VLOOKUP($E443,'② 프렙 원가'!$B$6:$F$16,5,FALSE),0),IFERROR(VLOOKUP($E443,'① 식재료 단가'!$B$6:$G$123,6,FALSE),0))))</f>
      </c>
      <c r="K443" s="75">
        <f>IF($D443="메뉴",ROUND($G443*$J443,1),IF($I443&gt;0,ROUND($G443/$I443*$J443,1),0))</f>
      </c>
      <c r="L443" s="64" t="s">
        <v>66</v>
      </c>
    </row>
    <row r="444" spans="1:12" x14ac:dyDescent="0.25">
      <c r="A444" s="77" t="s">
        <v>83</v>
      </c>
      <c r="B444" s="36" t="s">
        <v>162</v>
      </c>
      <c r="C444" s="63">
        <v>2</v>
      </c>
      <c r="D444" s="78" t="s">
        <v>204</v>
      </c>
      <c r="E444" s="49" t="s">
        <v>228</v>
      </c>
      <c r="F444" s="77" t="s">
        <v>66</v>
      </c>
      <c r="G444" s="72">
        <v>30</v>
      </c>
      <c r="H444" s="63" t="s">
        <v>207</v>
      </c>
      <c r="I444" s="73">
        <v>1</v>
      </c>
      <c r="J444" s="74">
        <f>IF($D444="무료",0,IF($D444="메뉴",0,IF($D444="프렙",IFERROR(VLOOKUP($E444,'② 프렙 원가'!$B$6:$F$16,5,FALSE),0),IFERROR(VLOOKUP($E444,'① 식재료 단가'!$B$6:$G$123,6,FALSE),0))))</f>
      </c>
      <c r="K444" s="75">
        <f>IF($D444="메뉴",ROUND($G444*$J444,1),IF($I444&gt;0,ROUND($G444/$I444*$J444,1),0))</f>
      </c>
      <c r="L444" s="64" t="s">
        <v>66</v>
      </c>
    </row>
    <row r="445" spans="1:12" x14ac:dyDescent="0.25">
      <c r="A445" s="77" t="s">
        <v>83</v>
      </c>
      <c r="B445" s="36" t="s">
        <v>162</v>
      </c>
      <c r="C445" s="63">
        <v>3</v>
      </c>
      <c r="D445" s="78" t="s">
        <v>204</v>
      </c>
      <c r="E445" s="49" t="s">
        <v>232</v>
      </c>
      <c r="F445" s="77" t="s">
        <v>66</v>
      </c>
      <c r="G445" s="72">
        <v>10</v>
      </c>
      <c r="H445" s="63" t="s">
        <v>207</v>
      </c>
      <c r="I445" s="73">
        <v>1</v>
      </c>
      <c r="J445" s="74">
        <f>IF($D445="무료",0,IF($D445="메뉴",0,IF($D445="프렙",IFERROR(VLOOKUP($E445,'② 프렙 원가'!$B$6:$F$16,5,FALSE),0),IFERROR(VLOOKUP($E445,'① 식재료 단가'!$B$6:$G$123,6,FALSE),0))))</f>
      </c>
      <c r="K445" s="75">
        <f>IF($D445="메뉴",ROUND($G445*$J445,1),IF($I445&gt;0,ROUND($G445/$I445*$J445,1),0))</f>
      </c>
      <c r="L445" s="64" t="s">
        <v>66</v>
      </c>
    </row>
    <row r="446" spans="1:12" x14ac:dyDescent="0.25">
      <c r="A446" s="77" t="s">
        <v>83</v>
      </c>
      <c r="B446" s="36" t="s">
        <v>162</v>
      </c>
      <c r="C446" s="63">
        <v>4</v>
      </c>
      <c r="D446" s="78" t="s">
        <v>204</v>
      </c>
      <c r="E446" s="49" t="s">
        <v>212</v>
      </c>
      <c r="F446" s="77" t="s">
        <v>66</v>
      </c>
      <c r="G446" s="72">
        <v>10</v>
      </c>
      <c r="H446" s="63" t="s">
        <v>207</v>
      </c>
      <c r="I446" s="73">
        <v>1</v>
      </c>
      <c r="J446" s="74">
        <f>IF($D446="무료",0,IF($D446="메뉴",0,IF($D446="프렙",IFERROR(VLOOKUP($E446,'② 프렙 원가'!$B$6:$F$16,5,FALSE),0),IFERROR(VLOOKUP($E446,'① 식재료 단가'!$B$6:$G$123,6,FALSE),0))))</f>
      </c>
      <c r="K446" s="75">
        <f>IF($D446="메뉴",ROUND($G446*$J446,1),IF($I446&gt;0,ROUND($G446/$I446*$J446,1),0))</f>
      </c>
      <c r="L446" s="64" t="s">
        <v>66</v>
      </c>
    </row>
    <row r="447" spans="1:12" x14ac:dyDescent="0.25">
      <c r="A447" s="77" t="s">
        <v>83</v>
      </c>
      <c r="B447" s="36" t="s">
        <v>162</v>
      </c>
      <c r="C447" s="63">
        <v>5</v>
      </c>
      <c r="D447" s="78" t="s">
        <v>204</v>
      </c>
      <c r="E447" s="49" t="s">
        <v>300</v>
      </c>
      <c r="F447" s="77" t="s">
        <v>66</v>
      </c>
      <c r="G447" s="72">
        <v>10</v>
      </c>
      <c r="H447" s="63" t="s">
        <v>207</v>
      </c>
      <c r="I447" s="73">
        <v>1</v>
      </c>
      <c r="J447" s="74">
        <f>IF($D447="무료",0,IF($D447="메뉴",0,IF($D447="프렙",IFERROR(VLOOKUP($E447,'② 프렙 원가'!$B$6:$F$16,5,FALSE),0),IFERROR(VLOOKUP($E447,'① 식재료 단가'!$B$6:$G$123,6,FALSE),0))))</f>
      </c>
      <c r="K447" s="75">
        <f>IF($D447="메뉴",ROUND($G447*$J447,1),IF($I447&gt;0,ROUND($G447/$I447*$J447,1),0))</f>
      </c>
      <c r="L447" s="64" t="s">
        <v>350</v>
      </c>
    </row>
    <row r="448" spans="1:12" x14ac:dyDescent="0.25">
      <c r="A448" s="77" t="s">
        <v>83</v>
      </c>
      <c r="B448" s="36" t="s">
        <v>162</v>
      </c>
      <c r="C448" s="63">
        <v>6</v>
      </c>
      <c r="D448" s="78" t="s">
        <v>204</v>
      </c>
      <c r="E448" s="49" t="s">
        <v>217</v>
      </c>
      <c r="F448" s="77" t="s">
        <v>66</v>
      </c>
      <c r="G448" s="72">
        <v>5</v>
      </c>
      <c r="H448" s="63" t="s">
        <v>207</v>
      </c>
      <c r="I448" s="73">
        <v>1</v>
      </c>
      <c r="J448" s="74">
        <f>IF($D448="무료",0,IF($D448="메뉴",0,IF($D448="프렙",IFERROR(VLOOKUP($E448,'② 프렙 원가'!$B$6:$F$16,5,FALSE),0),IFERROR(VLOOKUP($E448,'① 식재료 단가'!$B$6:$G$123,6,FALSE),0))))</f>
      </c>
      <c r="K448" s="75">
        <f>IF($D448="메뉴",ROUND($G448*$J448,1),IF($I448&gt;0,ROUND($G448/$I448*$J448,1),0))</f>
      </c>
      <c r="L448" s="64" t="s">
        <v>66</v>
      </c>
    </row>
    <row r="449" spans="1:12" x14ac:dyDescent="0.25">
      <c r="A449" s="77" t="s">
        <v>83</v>
      </c>
      <c r="B449" s="36" t="s">
        <v>162</v>
      </c>
      <c r="C449" s="63">
        <v>7</v>
      </c>
      <c r="D449" s="78" t="s">
        <v>204</v>
      </c>
      <c r="E449" s="49" t="s">
        <v>216</v>
      </c>
      <c r="F449" s="77" t="s">
        <v>66</v>
      </c>
      <c r="G449" s="72">
        <v>5</v>
      </c>
      <c r="H449" s="63" t="s">
        <v>207</v>
      </c>
      <c r="I449" s="73">
        <v>1</v>
      </c>
      <c r="J449" s="74">
        <f>IF($D449="무료",0,IF($D449="메뉴",0,IF($D449="프렙",IFERROR(VLOOKUP($E449,'② 프렙 원가'!$B$6:$F$16,5,FALSE),0),IFERROR(VLOOKUP($E449,'① 식재료 단가'!$B$6:$G$123,6,FALSE),0))))</f>
      </c>
      <c r="K449" s="75">
        <f>IF($D449="메뉴",ROUND($G449*$J449,1),IF($I449&gt;0,ROUND($G449/$I449*$J449,1),0))</f>
      </c>
      <c r="L449" s="64" t="s">
        <v>66</v>
      </c>
    </row>
    <row r="450" spans="1:12" x14ac:dyDescent="0.25">
      <c r="A450" s="77" t="s">
        <v>83</v>
      </c>
      <c r="B450" s="36" t="s">
        <v>162</v>
      </c>
      <c r="C450" s="63">
        <v>8</v>
      </c>
      <c r="D450" s="78" t="s">
        <v>204</v>
      </c>
      <c r="E450" s="49" t="s">
        <v>404</v>
      </c>
      <c r="F450" s="77" t="s">
        <v>66</v>
      </c>
      <c r="G450" s="72">
        <v>3</v>
      </c>
      <c r="H450" s="63" t="s">
        <v>207</v>
      </c>
      <c r="I450" s="73">
        <v>1</v>
      </c>
      <c r="J450" s="74">
        <f>IF($D450="무료",0,IF($D450="메뉴",0,IF($D450="프렙",IFERROR(VLOOKUP($E450,'② 프렙 원가'!$B$6:$F$16,5,FALSE),0),IFERROR(VLOOKUP($E450,'① 식재료 단가'!$B$6:$G$123,6,FALSE),0))))</f>
      </c>
      <c r="K450" s="75">
        <f>IF($D450="메뉴",ROUND($G450*$J450,1),IF($I450&gt;0,ROUND($G450/$I450*$J450,1),0))</f>
      </c>
      <c r="L450" s="64" t="s">
        <v>66</v>
      </c>
    </row>
    <row r="451" spans="1:12" x14ac:dyDescent="0.25">
      <c r="A451" s="70" t="s">
        <v>83</v>
      </c>
      <c r="B451" s="31" t="s">
        <v>163</v>
      </c>
      <c r="C451" s="53">
        <v>1</v>
      </c>
      <c r="D451" s="71" t="s">
        <v>204</v>
      </c>
      <c r="E451" s="44" t="s">
        <v>308</v>
      </c>
      <c r="F451" s="70" t="s">
        <v>66</v>
      </c>
      <c r="G451" s="72">
        <v>160</v>
      </c>
      <c r="H451" s="53" t="s">
        <v>207</v>
      </c>
      <c r="I451" s="73">
        <v>1</v>
      </c>
      <c r="J451" s="74">
        <f>IF($D451="무료",0,IF($D451="메뉴",0,IF($D451="프렙",IFERROR(VLOOKUP($E451,'② 프렙 원가'!$B$6:$F$16,5,FALSE),0),IFERROR(VLOOKUP($E451,'① 식재료 단가'!$B$6:$G$123,6,FALSE),0))))</f>
      </c>
      <c r="K451" s="75">
        <f>IF($D451="메뉴",ROUND($G451*$J451,1),IF($I451&gt;0,ROUND($G451/$I451*$J451,1),0))</f>
      </c>
      <c r="L451" s="54" t="s">
        <v>66</v>
      </c>
    </row>
    <row r="452" spans="1:12" x14ac:dyDescent="0.25">
      <c r="A452" s="70" t="s">
        <v>83</v>
      </c>
      <c r="B452" s="31" t="s">
        <v>163</v>
      </c>
      <c r="C452" s="53">
        <v>2</v>
      </c>
      <c r="D452" s="71" t="s">
        <v>204</v>
      </c>
      <c r="E452" s="44" t="s">
        <v>306</v>
      </c>
      <c r="F452" s="70" t="s">
        <v>66</v>
      </c>
      <c r="G452" s="72">
        <v>30</v>
      </c>
      <c r="H452" s="53" t="s">
        <v>207</v>
      </c>
      <c r="I452" s="73">
        <v>1</v>
      </c>
      <c r="J452" s="74">
        <f>IF($D452="무료",0,IF($D452="메뉴",0,IF($D452="프렙",IFERROR(VLOOKUP($E452,'② 프렙 원가'!$B$6:$F$16,5,FALSE),0),IFERROR(VLOOKUP($E452,'① 식재료 단가'!$B$6:$G$123,6,FALSE),0))))</f>
      </c>
      <c r="K452" s="75">
        <f>IF($D452="메뉴",ROUND($G452*$J452,1),IF($I452&gt;0,ROUND($G452/$I452*$J452,1),0))</f>
      </c>
      <c r="L452" s="54" t="s">
        <v>307</v>
      </c>
    </row>
    <row r="453" spans="1:12" x14ac:dyDescent="0.25">
      <c r="A453" s="70" t="s">
        <v>83</v>
      </c>
      <c r="B453" s="31" t="s">
        <v>163</v>
      </c>
      <c r="C453" s="53">
        <v>3</v>
      </c>
      <c r="D453" s="71" t="s">
        <v>204</v>
      </c>
      <c r="E453" s="44" t="s">
        <v>231</v>
      </c>
      <c r="F453" s="70" t="s">
        <v>66</v>
      </c>
      <c r="G453" s="72">
        <v>10</v>
      </c>
      <c r="H453" s="53" t="s">
        <v>207</v>
      </c>
      <c r="I453" s="73">
        <v>1</v>
      </c>
      <c r="J453" s="74">
        <f>IF($D453="무료",0,IF($D453="메뉴",0,IF($D453="프렙",IFERROR(VLOOKUP($E453,'② 프렙 원가'!$B$6:$F$16,5,FALSE),0),IFERROR(VLOOKUP($E453,'① 식재료 단가'!$B$6:$G$123,6,FALSE),0))))</f>
      </c>
      <c r="K453" s="75">
        <f>IF($D453="메뉴",ROUND($G453*$J453,1),IF($I453&gt;0,ROUND($G453/$I453*$J453,1),0))</f>
      </c>
      <c r="L453" s="54" t="s">
        <v>242</v>
      </c>
    </row>
    <row r="454" spans="1:12" x14ac:dyDescent="0.25">
      <c r="A454" s="70" t="s">
        <v>83</v>
      </c>
      <c r="B454" s="31" t="s">
        <v>163</v>
      </c>
      <c r="C454" s="53">
        <v>4</v>
      </c>
      <c r="D454" s="71" t="s">
        <v>204</v>
      </c>
      <c r="E454" s="44" t="s">
        <v>405</v>
      </c>
      <c r="F454" s="70" t="s">
        <v>66</v>
      </c>
      <c r="G454" s="72">
        <v>10</v>
      </c>
      <c r="H454" s="53" t="s">
        <v>207</v>
      </c>
      <c r="I454" s="73">
        <v>1</v>
      </c>
      <c r="J454" s="74">
        <f>IF($D454="무료",0,IF($D454="메뉴",0,IF($D454="프렙",IFERROR(VLOOKUP($E454,'② 프렙 원가'!$B$6:$F$16,5,FALSE),0),IFERROR(VLOOKUP($E454,'① 식재료 단가'!$B$6:$G$123,6,FALSE),0))))</f>
      </c>
      <c r="K454" s="75">
        <f>IF($D454="메뉴",ROUND($G454*$J454,1),IF($I454&gt;0,ROUND($G454/$I454*$J454,1),0))</f>
      </c>
      <c r="L454" s="54" t="s">
        <v>406</v>
      </c>
    </row>
    <row r="455" spans="1:12" x14ac:dyDescent="0.25">
      <c r="A455" s="70" t="s">
        <v>83</v>
      </c>
      <c r="B455" s="31" t="s">
        <v>163</v>
      </c>
      <c r="C455" s="53">
        <v>5</v>
      </c>
      <c r="D455" s="71" t="s">
        <v>204</v>
      </c>
      <c r="E455" s="44" t="s">
        <v>212</v>
      </c>
      <c r="F455" s="70" t="s">
        <v>66</v>
      </c>
      <c r="G455" s="72">
        <v>5</v>
      </c>
      <c r="H455" s="53" t="s">
        <v>207</v>
      </c>
      <c r="I455" s="73">
        <v>1</v>
      </c>
      <c r="J455" s="74">
        <f>IF($D455="무료",0,IF($D455="메뉴",0,IF($D455="프렙",IFERROR(VLOOKUP($E455,'② 프렙 원가'!$B$6:$F$16,5,FALSE),0),IFERROR(VLOOKUP($E455,'① 식재료 단가'!$B$6:$G$123,6,FALSE),0))))</f>
      </c>
      <c r="K455" s="75">
        <f>IF($D455="메뉴",ROUND($G455*$J455,1),IF($I455&gt;0,ROUND($G455/$I455*$J455,1),0))</f>
      </c>
      <c r="L455" s="54" t="s">
        <v>66</v>
      </c>
    </row>
    <row r="456" spans="1:12" x14ac:dyDescent="0.25">
      <c r="A456" s="70" t="s">
        <v>83</v>
      </c>
      <c r="B456" s="31" t="s">
        <v>163</v>
      </c>
      <c r="C456" s="53">
        <v>6</v>
      </c>
      <c r="D456" s="71" t="s">
        <v>204</v>
      </c>
      <c r="E456" s="44" t="s">
        <v>217</v>
      </c>
      <c r="F456" s="70" t="s">
        <v>66</v>
      </c>
      <c r="G456" s="72">
        <v>5</v>
      </c>
      <c r="H456" s="53" t="s">
        <v>207</v>
      </c>
      <c r="I456" s="73">
        <v>1</v>
      </c>
      <c r="J456" s="74">
        <f>IF($D456="무료",0,IF($D456="메뉴",0,IF($D456="프렙",IFERROR(VLOOKUP($E456,'② 프렙 원가'!$B$6:$F$16,5,FALSE),0),IFERROR(VLOOKUP($E456,'① 식재료 단가'!$B$6:$G$123,6,FALSE),0))))</f>
      </c>
      <c r="K456" s="75">
        <f>IF($D456="메뉴",ROUND($G456*$J456,1),IF($I456&gt;0,ROUND($G456/$I456*$J456,1),0))</f>
      </c>
      <c r="L456" s="54" t="s">
        <v>66</v>
      </c>
    </row>
    <row r="457" spans="1:12" x14ac:dyDescent="0.25">
      <c r="A457" s="70" t="s">
        <v>83</v>
      </c>
      <c r="B457" s="31" t="s">
        <v>163</v>
      </c>
      <c r="C457" s="53">
        <v>7</v>
      </c>
      <c r="D457" s="71" t="s">
        <v>204</v>
      </c>
      <c r="E457" s="44" t="s">
        <v>216</v>
      </c>
      <c r="F457" s="70" t="s">
        <v>66</v>
      </c>
      <c r="G457" s="72">
        <v>5</v>
      </c>
      <c r="H457" s="53" t="s">
        <v>207</v>
      </c>
      <c r="I457" s="73">
        <v>1</v>
      </c>
      <c r="J457" s="74">
        <f>IF($D457="무료",0,IF($D457="메뉴",0,IF($D457="프렙",IFERROR(VLOOKUP($E457,'② 프렙 원가'!$B$6:$F$16,5,FALSE),0),IFERROR(VLOOKUP($E457,'① 식재료 단가'!$B$6:$G$123,6,FALSE),0))))</f>
      </c>
      <c r="K457" s="75">
        <f>IF($D457="메뉴",ROUND($G457*$J457,1),IF($I457&gt;0,ROUND($G457/$I457*$J457,1),0))</f>
      </c>
      <c r="L457" s="54" t="s">
        <v>66</v>
      </c>
    </row>
    <row r="458" spans="1:12" x14ac:dyDescent="0.25">
      <c r="A458" s="70" t="s">
        <v>83</v>
      </c>
      <c r="B458" s="31" t="s">
        <v>163</v>
      </c>
      <c r="C458" s="53">
        <v>8</v>
      </c>
      <c r="D458" s="76" t="s">
        <v>209</v>
      </c>
      <c r="E458" s="44" t="s">
        <v>407</v>
      </c>
      <c r="F458" s="70" t="s">
        <v>179</v>
      </c>
      <c r="G458" s="72">
        <v>30</v>
      </c>
      <c r="H458" s="53" t="s">
        <v>207</v>
      </c>
      <c r="I458" s="73">
        <v>1</v>
      </c>
      <c r="J458" s="74">
        <f>IF($D458="무료",0,IF($D458="메뉴",0,IF($D458="프렙",IFERROR(VLOOKUP($E458,'② 프렙 원가'!$B$6:$F$16,5,FALSE),0),IFERROR(VLOOKUP($E458,'① 식재료 단가'!$B$6:$G$123,6,FALSE),0))))</f>
      </c>
      <c r="K458" s="75">
        <f>IF($D458="메뉴",ROUND($G458*$J458,1),IF($I458&gt;0,ROUND($G458/$I458*$J458,1),0))</f>
      </c>
      <c r="L458" s="54" t="s">
        <v>66</v>
      </c>
    </row>
    <row r="459" spans="1:12" x14ac:dyDescent="0.25">
      <c r="A459" s="77" t="s">
        <v>83</v>
      </c>
      <c r="B459" s="36" t="s">
        <v>164</v>
      </c>
      <c r="C459" s="63">
        <v>1</v>
      </c>
      <c r="D459" s="78" t="s">
        <v>204</v>
      </c>
      <c r="E459" s="49" t="s">
        <v>308</v>
      </c>
      <c r="F459" s="77" t="s">
        <v>66</v>
      </c>
      <c r="G459" s="72">
        <v>100</v>
      </c>
      <c r="H459" s="63" t="s">
        <v>207</v>
      </c>
      <c r="I459" s="73">
        <v>1</v>
      </c>
      <c r="J459" s="74">
        <f>IF($D459="무료",0,IF($D459="메뉴",0,IF($D459="프렙",IFERROR(VLOOKUP($E459,'② 프렙 원가'!$B$6:$F$16,5,FALSE),0),IFERROR(VLOOKUP($E459,'① 식재료 단가'!$B$6:$G$123,6,FALSE),0))))</f>
      </c>
      <c r="K459" s="75">
        <f>IF($D459="메뉴",ROUND($G459*$J459,1),IF($I459&gt;0,ROUND($G459/$I459*$J459,1),0))</f>
      </c>
      <c r="L459" s="64" t="s">
        <v>66</v>
      </c>
    </row>
    <row r="460" spans="1:12" x14ac:dyDescent="0.25">
      <c r="A460" s="77" t="s">
        <v>83</v>
      </c>
      <c r="B460" s="36" t="s">
        <v>164</v>
      </c>
      <c r="C460" s="63">
        <v>2</v>
      </c>
      <c r="D460" s="78" t="s">
        <v>204</v>
      </c>
      <c r="E460" s="49" t="s">
        <v>228</v>
      </c>
      <c r="F460" s="77" t="s">
        <v>66</v>
      </c>
      <c r="G460" s="72">
        <v>30</v>
      </c>
      <c r="H460" s="63" t="s">
        <v>207</v>
      </c>
      <c r="I460" s="73">
        <v>1</v>
      </c>
      <c r="J460" s="74">
        <f>IF($D460="무료",0,IF($D460="메뉴",0,IF($D460="프렙",IFERROR(VLOOKUP($E460,'② 프렙 원가'!$B$6:$F$16,5,FALSE),0),IFERROR(VLOOKUP($E460,'① 식재료 단가'!$B$6:$G$123,6,FALSE),0))))</f>
      </c>
      <c r="K460" s="75">
        <f>IF($D460="메뉴",ROUND($G460*$J460,1),IF($I460&gt;0,ROUND($G460/$I460*$J460,1),0))</f>
      </c>
      <c r="L460" s="64" t="s">
        <v>66</v>
      </c>
    </row>
    <row r="461" spans="1:12" x14ac:dyDescent="0.25">
      <c r="A461" s="77" t="s">
        <v>83</v>
      </c>
      <c r="B461" s="36" t="s">
        <v>164</v>
      </c>
      <c r="C461" s="63">
        <v>3</v>
      </c>
      <c r="D461" s="78" t="s">
        <v>204</v>
      </c>
      <c r="E461" s="49" t="s">
        <v>232</v>
      </c>
      <c r="F461" s="77" t="s">
        <v>66</v>
      </c>
      <c r="G461" s="72">
        <v>10</v>
      </c>
      <c r="H461" s="63" t="s">
        <v>207</v>
      </c>
      <c r="I461" s="73">
        <v>1</v>
      </c>
      <c r="J461" s="74">
        <f>IF($D461="무료",0,IF($D461="메뉴",0,IF($D461="프렙",IFERROR(VLOOKUP($E461,'② 프렙 원가'!$B$6:$F$16,5,FALSE),0),IFERROR(VLOOKUP($E461,'① 식재료 단가'!$B$6:$G$123,6,FALSE),0))))</f>
      </c>
      <c r="K461" s="75">
        <f>IF($D461="메뉴",ROUND($G461*$J461,1),IF($I461&gt;0,ROUND($G461/$I461*$J461,1),0))</f>
      </c>
      <c r="L461" s="64" t="s">
        <v>66</v>
      </c>
    </row>
    <row r="462" spans="1:12" x14ac:dyDescent="0.25">
      <c r="A462" s="77" t="s">
        <v>83</v>
      </c>
      <c r="B462" s="36" t="s">
        <v>164</v>
      </c>
      <c r="C462" s="63">
        <v>4</v>
      </c>
      <c r="D462" s="78" t="s">
        <v>204</v>
      </c>
      <c r="E462" s="49" t="s">
        <v>212</v>
      </c>
      <c r="F462" s="77" t="s">
        <v>213</v>
      </c>
      <c r="G462" s="72">
        <v>20</v>
      </c>
      <c r="H462" s="63" t="s">
        <v>207</v>
      </c>
      <c r="I462" s="73">
        <v>1</v>
      </c>
      <c r="J462" s="74">
        <f>IF($D462="무료",0,IF($D462="메뉴",0,IF($D462="프렙",IFERROR(VLOOKUP($E462,'② 프렙 원가'!$B$6:$F$16,5,FALSE),0),IFERROR(VLOOKUP($E462,'① 식재료 단가'!$B$6:$G$123,6,FALSE),0))))</f>
      </c>
      <c r="K462" s="75">
        <f>IF($D462="메뉴",ROUND($G462*$J462,1),IF($I462&gt;0,ROUND($G462/$I462*$J462,1),0))</f>
      </c>
      <c r="L462" s="64" t="s">
        <v>408</v>
      </c>
    </row>
    <row r="463" spans="1:12" x14ac:dyDescent="0.25">
      <c r="A463" s="77" t="s">
        <v>83</v>
      </c>
      <c r="B463" s="36" t="s">
        <v>164</v>
      </c>
      <c r="C463" s="63">
        <v>5</v>
      </c>
      <c r="D463" s="78" t="s">
        <v>204</v>
      </c>
      <c r="E463" s="49" t="s">
        <v>217</v>
      </c>
      <c r="F463" s="77" t="s">
        <v>66</v>
      </c>
      <c r="G463" s="72">
        <v>5</v>
      </c>
      <c r="H463" s="63" t="s">
        <v>207</v>
      </c>
      <c r="I463" s="73">
        <v>1</v>
      </c>
      <c r="J463" s="74">
        <f>IF($D463="무료",0,IF($D463="메뉴",0,IF($D463="프렙",IFERROR(VLOOKUP($E463,'② 프렙 원가'!$B$6:$F$16,5,FALSE),0),IFERROR(VLOOKUP($E463,'① 식재료 단가'!$B$6:$G$123,6,FALSE),0))))</f>
      </c>
      <c r="K463" s="75">
        <f>IF($D463="메뉴",ROUND($G463*$J463,1),IF($I463&gt;0,ROUND($G463/$I463*$J463,1),0))</f>
      </c>
      <c r="L463" s="64" t="s">
        <v>66</v>
      </c>
    </row>
    <row r="464" spans="1:12" x14ac:dyDescent="0.25">
      <c r="A464" s="77" t="s">
        <v>83</v>
      </c>
      <c r="B464" s="36" t="s">
        <v>164</v>
      </c>
      <c r="C464" s="63">
        <v>6</v>
      </c>
      <c r="D464" s="78" t="s">
        <v>204</v>
      </c>
      <c r="E464" s="49" t="s">
        <v>216</v>
      </c>
      <c r="F464" s="77" t="s">
        <v>66</v>
      </c>
      <c r="G464" s="72">
        <v>5</v>
      </c>
      <c r="H464" s="63" t="s">
        <v>207</v>
      </c>
      <c r="I464" s="73">
        <v>1</v>
      </c>
      <c r="J464" s="74">
        <f>IF($D464="무료",0,IF($D464="메뉴",0,IF($D464="프렙",IFERROR(VLOOKUP($E464,'② 프렙 원가'!$B$6:$F$16,5,FALSE),0),IFERROR(VLOOKUP($E464,'① 식재료 단가'!$B$6:$G$123,6,FALSE),0))))</f>
      </c>
      <c r="K464" s="75">
        <f>IF($D464="메뉴",ROUND($G464*$J464,1),IF($I464&gt;0,ROUND($G464/$I464*$J464,1),0))</f>
      </c>
      <c r="L464" s="64" t="s">
        <v>66</v>
      </c>
    </row>
    <row r="465" spans="1:12" x14ac:dyDescent="0.25">
      <c r="A465" s="77" t="s">
        <v>83</v>
      </c>
      <c r="B465" s="36" t="s">
        <v>164</v>
      </c>
      <c r="C465" s="63">
        <v>7</v>
      </c>
      <c r="D465" s="78" t="s">
        <v>204</v>
      </c>
      <c r="E465" s="49" t="s">
        <v>404</v>
      </c>
      <c r="F465" s="77" t="s">
        <v>66</v>
      </c>
      <c r="G465" s="72">
        <v>3</v>
      </c>
      <c r="H465" s="63" t="s">
        <v>207</v>
      </c>
      <c r="I465" s="73">
        <v>1</v>
      </c>
      <c r="J465" s="74">
        <f>IF($D465="무료",0,IF($D465="메뉴",0,IF($D465="프렙",IFERROR(VLOOKUP($E465,'② 프렙 원가'!$B$6:$F$16,5,FALSE),0),IFERROR(VLOOKUP($E465,'① 식재료 단가'!$B$6:$G$123,6,FALSE),0))))</f>
      </c>
      <c r="K465" s="75">
        <f>IF($D465="메뉴",ROUND($G465*$J465,1),IF($I465&gt;0,ROUND($G465/$I465*$J465,1),0))</f>
      </c>
      <c r="L465" s="64" t="s">
        <v>66</v>
      </c>
    </row>
    <row r="466" spans="1:12" x14ac:dyDescent="0.25">
      <c r="A466" s="70" t="s">
        <v>83</v>
      </c>
      <c r="B466" s="31" t="s">
        <v>165</v>
      </c>
      <c r="C466" s="53">
        <v>1</v>
      </c>
      <c r="D466" s="71" t="s">
        <v>204</v>
      </c>
      <c r="E466" s="44" t="s">
        <v>308</v>
      </c>
      <c r="F466" s="70" t="s">
        <v>66</v>
      </c>
      <c r="G466" s="72">
        <v>160</v>
      </c>
      <c r="H466" s="53" t="s">
        <v>207</v>
      </c>
      <c r="I466" s="73">
        <v>1</v>
      </c>
      <c r="J466" s="74">
        <f>IF($D466="무료",0,IF($D466="메뉴",0,IF($D466="프렙",IFERROR(VLOOKUP($E466,'② 프렙 원가'!$B$6:$F$16,5,FALSE),0),IFERROR(VLOOKUP($E466,'① 식재료 단가'!$B$6:$G$123,6,FALSE),0))))</f>
      </c>
      <c r="K466" s="75">
        <f>IF($D466="메뉴",ROUND($G466*$J466,1),IF($I466&gt;0,ROUND($G466/$I466*$J466,1),0))</f>
      </c>
      <c r="L466" s="54" t="s">
        <v>66</v>
      </c>
    </row>
    <row r="467" spans="1:12" x14ac:dyDescent="0.25">
      <c r="A467" s="70" t="s">
        <v>83</v>
      </c>
      <c r="B467" s="31" t="s">
        <v>165</v>
      </c>
      <c r="C467" s="53">
        <v>2</v>
      </c>
      <c r="D467" s="71" t="s">
        <v>204</v>
      </c>
      <c r="E467" s="44" t="s">
        <v>306</v>
      </c>
      <c r="F467" s="70" t="s">
        <v>66</v>
      </c>
      <c r="G467" s="72">
        <v>30</v>
      </c>
      <c r="H467" s="53" t="s">
        <v>207</v>
      </c>
      <c r="I467" s="73">
        <v>1</v>
      </c>
      <c r="J467" s="74">
        <f>IF($D467="무료",0,IF($D467="메뉴",0,IF($D467="프렙",IFERROR(VLOOKUP($E467,'② 프렙 원가'!$B$6:$F$16,5,FALSE),0),IFERROR(VLOOKUP($E467,'① 식재료 단가'!$B$6:$G$123,6,FALSE),0))))</f>
      </c>
      <c r="K467" s="75">
        <f>IF($D467="메뉴",ROUND($G467*$J467,1),IF($I467&gt;0,ROUND($G467/$I467*$J467,1),0))</f>
      </c>
      <c r="L467" s="54" t="s">
        <v>307</v>
      </c>
    </row>
    <row r="468" spans="1:12" x14ac:dyDescent="0.25">
      <c r="A468" s="70" t="s">
        <v>83</v>
      </c>
      <c r="B468" s="31" t="s">
        <v>165</v>
      </c>
      <c r="C468" s="53">
        <v>3</v>
      </c>
      <c r="D468" s="71" t="s">
        <v>204</v>
      </c>
      <c r="E468" s="44" t="s">
        <v>279</v>
      </c>
      <c r="F468" s="70" t="s">
        <v>66</v>
      </c>
      <c r="G468" s="72">
        <v>10</v>
      </c>
      <c r="H468" s="53" t="s">
        <v>207</v>
      </c>
      <c r="I468" s="73">
        <v>1</v>
      </c>
      <c r="J468" s="74">
        <f>IF($D468="무료",0,IF($D468="메뉴",0,IF($D468="프렙",IFERROR(VLOOKUP($E468,'② 프렙 원가'!$B$6:$F$16,5,FALSE),0),IFERROR(VLOOKUP($E468,'① 식재료 단가'!$B$6:$G$123,6,FALSE),0))))</f>
      </c>
      <c r="K468" s="75">
        <f>IF($D468="메뉴",ROUND($G468*$J468,1),IF($I468&gt;0,ROUND($G468/$I468*$J468,1),0))</f>
      </c>
      <c r="L468" s="54" t="s">
        <v>242</v>
      </c>
    </row>
    <row r="469" spans="1:12" x14ac:dyDescent="0.25">
      <c r="A469" s="70" t="s">
        <v>83</v>
      </c>
      <c r="B469" s="31" t="s">
        <v>165</v>
      </c>
      <c r="C469" s="53">
        <v>4</v>
      </c>
      <c r="D469" s="71" t="s">
        <v>204</v>
      </c>
      <c r="E469" s="44" t="s">
        <v>283</v>
      </c>
      <c r="F469" s="70" t="s">
        <v>284</v>
      </c>
      <c r="G469" s="72">
        <v>5</v>
      </c>
      <c r="H469" s="53" t="s">
        <v>207</v>
      </c>
      <c r="I469" s="73">
        <v>1</v>
      </c>
      <c r="J469" s="74">
        <f>IF($D469="무료",0,IF($D469="메뉴",0,IF($D469="프렙",IFERROR(VLOOKUP($E469,'② 프렙 원가'!$B$6:$F$16,5,FALSE),0),IFERROR(VLOOKUP($E469,'① 식재료 단가'!$B$6:$G$123,6,FALSE),0))))</f>
      </c>
      <c r="K469" s="75">
        <f>IF($D469="메뉴",ROUND($G469*$J469,1),IF($I469&gt;0,ROUND($G469/$I469*$J469,1),0))</f>
      </c>
      <c r="L469" s="54" t="s">
        <v>66</v>
      </c>
    </row>
    <row r="470" spans="1:12" x14ac:dyDescent="0.25">
      <c r="A470" s="70" t="s">
        <v>83</v>
      </c>
      <c r="B470" s="31" t="s">
        <v>165</v>
      </c>
      <c r="C470" s="53">
        <v>5</v>
      </c>
      <c r="D470" s="71" t="s">
        <v>204</v>
      </c>
      <c r="E470" s="44" t="s">
        <v>212</v>
      </c>
      <c r="F470" s="70" t="s">
        <v>66</v>
      </c>
      <c r="G470" s="72">
        <v>10</v>
      </c>
      <c r="H470" s="53" t="s">
        <v>207</v>
      </c>
      <c r="I470" s="73">
        <v>1</v>
      </c>
      <c r="J470" s="74">
        <f>IF($D470="무료",0,IF($D470="메뉴",0,IF($D470="프렙",IFERROR(VLOOKUP($E470,'② 프렙 원가'!$B$6:$F$16,5,FALSE),0),IFERROR(VLOOKUP($E470,'① 식재료 단가'!$B$6:$G$123,6,FALSE),0))))</f>
      </c>
      <c r="K470" s="75">
        <f>IF($D470="메뉴",ROUND($G470*$J470,1),IF($I470&gt;0,ROUND($G470/$I470*$J470,1),0))</f>
      </c>
      <c r="L470" s="54" t="s">
        <v>66</v>
      </c>
    </row>
    <row r="471" spans="1:12" x14ac:dyDescent="0.25">
      <c r="A471" s="70" t="s">
        <v>83</v>
      </c>
      <c r="B471" s="31" t="s">
        <v>165</v>
      </c>
      <c r="C471" s="53">
        <v>6</v>
      </c>
      <c r="D471" s="71" t="s">
        <v>204</v>
      </c>
      <c r="E471" s="44" t="s">
        <v>243</v>
      </c>
      <c r="F471" s="70" t="s">
        <v>66</v>
      </c>
      <c r="G471" s="72">
        <v>5</v>
      </c>
      <c r="H471" s="53" t="s">
        <v>207</v>
      </c>
      <c r="I471" s="73">
        <v>1</v>
      </c>
      <c r="J471" s="74">
        <f>IF($D471="무료",0,IF($D471="메뉴",0,IF($D471="프렙",IFERROR(VLOOKUP($E471,'② 프렙 원가'!$B$6:$F$16,5,FALSE),0),IFERROR(VLOOKUP($E471,'① 식재료 단가'!$B$6:$G$123,6,FALSE),0))))</f>
      </c>
      <c r="K471" s="75">
        <f>IF($D471="메뉴",ROUND($G471*$J471,1),IF($I471&gt;0,ROUND($G471/$I471*$J471,1),0))</f>
      </c>
      <c r="L471" s="54" t="s">
        <v>242</v>
      </c>
    </row>
    <row r="472" spans="1:12" x14ac:dyDescent="0.25">
      <c r="A472" s="70" t="s">
        <v>83</v>
      </c>
      <c r="B472" s="31" t="s">
        <v>165</v>
      </c>
      <c r="C472" s="53">
        <v>7</v>
      </c>
      <c r="D472" s="71" t="s">
        <v>204</v>
      </c>
      <c r="E472" s="44" t="s">
        <v>216</v>
      </c>
      <c r="F472" s="70" t="s">
        <v>66</v>
      </c>
      <c r="G472" s="72">
        <v>5</v>
      </c>
      <c r="H472" s="53" t="s">
        <v>207</v>
      </c>
      <c r="I472" s="73">
        <v>1</v>
      </c>
      <c r="J472" s="74">
        <f>IF($D472="무료",0,IF($D472="메뉴",0,IF($D472="프렙",IFERROR(VLOOKUP($E472,'② 프렙 원가'!$B$6:$F$16,5,FALSE),0),IFERROR(VLOOKUP($E472,'① 식재료 단가'!$B$6:$G$123,6,FALSE),0))))</f>
      </c>
      <c r="K472" s="75">
        <f>IF($D472="메뉴",ROUND($G472*$J472,1),IF($I472&gt;0,ROUND($G472/$I472*$J472,1),0))</f>
      </c>
      <c r="L472" s="54" t="s">
        <v>66</v>
      </c>
    </row>
    <row r="473" spans="1:12" x14ac:dyDescent="0.25">
      <c r="A473" s="70" t="s">
        <v>83</v>
      </c>
      <c r="B473" s="31" t="s">
        <v>165</v>
      </c>
      <c r="C473" s="53">
        <v>8</v>
      </c>
      <c r="D473" s="76" t="s">
        <v>209</v>
      </c>
      <c r="E473" s="44" t="s">
        <v>407</v>
      </c>
      <c r="F473" s="70" t="s">
        <v>179</v>
      </c>
      <c r="G473" s="72">
        <v>20</v>
      </c>
      <c r="H473" s="53" t="s">
        <v>207</v>
      </c>
      <c r="I473" s="73">
        <v>1</v>
      </c>
      <c r="J473" s="74">
        <f>IF($D473="무료",0,IF($D473="메뉴",0,IF($D473="프렙",IFERROR(VLOOKUP($E473,'② 프렙 원가'!$B$6:$F$16,5,FALSE),0),IFERROR(VLOOKUP($E473,'① 식재료 단가'!$B$6:$G$123,6,FALSE),0))))</f>
      </c>
      <c r="K473" s="75">
        <f>IF($D473="메뉴",ROUND($G473*$J473,1),IF($I473&gt;0,ROUND($G473/$I473*$J473,1),0))</f>
      </c>
      <c r="L473" s="54" t="s">
        <v>66</v>
      </c>
    </row>
    <row r="474" spans="1:12" x14ac:dyDescent="0.25">
      <c r="A474" s="77" t="s">
        <v>83</v>
      </c>
      <c r="B474" s="36" t="s">
        <v>166</v>
      </c>
      <c r="C474" s="63">
        <v>1</v>
      </c>
      <c r="D474" s="78" t="s">
        <v>204</v>
      </c>
      <c r="E474" s="49" t="s">
        <v>308</v>
      </c>
      <c r="F474" s="77" t="s">
        <v>66</v>
      </c>
      <c r="G474" s="72">
        <v>160</v>
      </c>
      <c r="H474" s="63" t="s">
        <v>207</v>
      </c>
      <c r="I474" s="73">
        <v>1</v>
      </c>
      <c r="J474" s="74">
        <f>IF($D474="무료",0,IF($D474="메뉴",0,IF($D474="프렙",IFERROR(VLOOKUP($E474,'② 프렙 원가'!$B$6:$F$16,5,FALSE),0),IFERROR(VLOOKUP($E474,'① 식재료 단가'!$B$6:$G$123,6,FALSE),0))))</f>
      </c>
      <c r="K474" s="75">
        <f>IF($D474="메뉴",ROUND($G474*$J474,1),IF($I474&gt;0,ROUND($G474/$I474*$J474,1),0))</f>
      </c>
      <c r="L474" s="64" t="s">
        <v>66</v>
      </c>
    </row>
    <row r="475" spans="1:12" x14ac:dyDescent="0.25">
      <c r="A475" s="77" t="s">
        <v>83</v>
      </c>
      <c r="B475" s="36" t="s">
        <v>166</v>
      </c>
      <c r="C475" s="63">
        <v>2</v>
      </c>
      <c r="D475" s="78" t="s">
        <v>204</v>
      </c>
      <c r="E475" s="49" t="s">
        <v>212</v>
      </c>
      <c r="F475" s="77" t="s">
        <v>66</v>
      </c>
      <c r="G475" s="72">
        <v>5</v>
      </c>
      <c r="H475" s="63" t="s">
        <v>207</v>
      </c>
      <c r="I475" s="73">
        <v>1</v>
      </c>
      <c r="J475" s="74">
        <f>IF($D475="무료",0,IF($D475="메뉴",0,IF($D475="프렙",IFERROR(VLOOKUP($E475,'② 프렙 원가'!$B$6:$F$16,5,FALSE),0),IFERROR(VLOOKUP($E475,'① 식재료 단가'!$B$6:$G$123,6,FALSE),0))))</f>
      </c>
      <c r="K475" s="75">
        <f>IF($D475="메뉴",ROUND($G475*$J475,1),IF($I475&gt;0,ROUND($G475/$I475*$J475,1),0))</f>
      </c>
      <c r="L475" s="64" t="s">
        <v>66</v>
      </c>
    </row>
    <row r="476" spans="1:12" x14ac:dyDescent="0.25">
      <c r="A476" s="77" t="s">
        <v>83</v>
      </c>
      <c r="B476" s="36" t="s">
        <v>166</v>
      </c>
      <c r="C476" s="63">
        <v>3</v>
      </c>
      <c r="D476" s="78" t="s">
        <v>204</v>
      </c>
      <c r="E476" s="49" t="s">
        <v>409</v>
      </c>
      <c r="F476" s="77" t="s">
        <v>66</v>
      </c>
      <c r="G476" s="72">
        <v>75</v>
      </c>
      <c r="H476" s="63" t="s">
        <v>207</v>
      </c>
      <c r="I476" s="73">
        <v>1</v>
      </c>
      <c r="J476" s="74">
        <f>IF($D476="무료",0,IF($D476="메뉴",0,IF($D476="프렙",IFERROR(VLOOKUP($E476,'② 프렙 원가'!$B$6:$F$16,5,FALSE),0),IFERROR(VLOOKUP($E476,'① 식재료 단가'!$B$6:$G$123,6,FALSE),0))))</f>
      </c>
      <c r="K476" s="75">
        <f>IF($D476="메뉴",ROUND($G476*$J476,1),IF($I476&gt;0,ROUND($G476/$I476*$J476,1),0))</f>
      </c>
      <c r="L476" s="64" t="s">
        <v>66</v>
      </c>
    </row>
    <row r="477" spans="1:12" x14ac:dyDescent="0.25">
      <c r="A477" s="77" t="s">
        <v>83</v>
      </c>
      <c r="B477" s="36" t="s">
        <v>166</v>
      </c>
      <c r="C477" s="63">
        <v>4</v>
      </c>
      <c r="D477" s="78" t="s">
        <v>204</v>
      </c>
      <c r="E477" s="49" t="s">
        <v>228</v>
      </c>
      <c r="F477" s="77" t="s">
        <v>66</v>
      </c>
      <c r="G477" s="72">
        <v>30</v>
      </c>
      <c r="H477" s="63" t="s">
        <v>207</v>
      </c>
      <c r="I477" s="73">
        <v>1</v>
      </c>
      <c r="J477" s="74">
        <f>IF($D477="무료",0,IF($D477="메뉴",0,IF($D477="프렙",IFERROR(VLOOKUP($E477,'② 프렙 원가'!$B$6:$F$16,5,FALSE),0),IFERROR(VLOOKUP($E477,'① 식재료 단가'!$B$6:$G$123,6,FALSE),0))))</f>
      </c>
      <c r="K477" s="75">
        <f>IF($D477="메뉴",ROUND($G477*$J477,1),IF($I477&gt;0,ROUND($G477/$I477*$J477,1),0))</f>
      </c>
      <c r="L477" s="64" t="s">
        <v>66</v>
      </c>
    </row>
    <row r="478" spans="1:12" x14ac:dyDescent="0.25">
      <c r="A478" s="77" t="s">
        <v>83</v>
      </c>
      <c r="B478" s="36" t="s">
        <v>166</v>
      </c>
      <c r="C478" s="63">
        <v>5</v>
      </c>
      <c r="D478" s="78" t="s">
        <v>204</v>
      </c>
      <c r="E478" s="49" t="s">
        <v>232</v>
      </c>
      <c r="F478" s="77" t="s">
        <v>66</v>
      </c>
      <c r="G478" s="72">
        <v>10</v>
      </c>
      <c r="H478" s="63" t="s">
        <v>207</v>
      </c>
      <c r="I478" s="73">
        <v>1</v>
      </c>
      <c r="J478" s="74">
        <f>IF($D478="무료",0,IF($D478="메뉴",0,IF($D478="프렙",IFERROR(VLOOKUP($E478,'② 프렙 원가'!$B$6:$F$16,5,FALSE),0),IFERROR(VLOOKUP($E478,'① 식재료 단가'!$B$6:$G$123,6,FALSE),0))))</f>
      </c>
      <c r="K478" s="75">
        <f>IF($D478="메뉴",ROUND($G478*$J478,1),IF($I478&gt;0,ROUND($G478/$I478*$J478,1),0))</f>
      </c>
      <c r="L478" s="64" t="s">
        <v>66</v>
      </c>
    </row>
    <row r="479" spans="1:12" x14ac:dyDescent="0.25">
      <c r="A479" s="77" t="s">
        <v>83</v>
      </c>
      <c r="B479" s="36" t="s">
        <v>166</v>
      </c>
      <c r="C479" s="63">
        <v>6</v>
      </c>
      <c r="D479" s="78" t="s">
        <v>204</v>
      </c>
      <c r="E479" s="49" t="s">
        <v>216</v>
      </c>
      <c r="F479" s="77" t="s">
        <v>66</v>
      </c>
      <c r="G479" s="72">
        <v>5</v>
      </c>
      <c r="H479" s="63" t="s">
        <v>207</v>
      </c>
      <c r="I479" s="73">
        <v>1</v>
      </c>
      <c r="J479" s="74">
        <f>IF($D479="무료",0,IF($D479="메뉴",0,IF($D479="프렙",IFERROR(VLOOKUP($E479,'② 프렙 원가'!$B$6:$F$16,5,FALSE),0),IFERROR(VLOOKUP($E479,'① 식재료 단가'!$B$6:$G$123,6,FALSE),0))))</f>
      </c>
      <c r="K479" s="75">
        <f>IF($D479="메뉴",ROUND($G479*$J479,1),IF($I479&gt;0,ROUND($G479/$I479*$J479,1),0))</f>
      </c>
      <c r="L479" s="64" t="s">
        <v>66</v>
      </c>
    </row>
    <row r="480" spans="1:12" x14ac:dyDescent="0.25">
      <c r="A480" s="77" t="s">
        <v>83</v>
      </c>
      <c r="B480" s="36" t="s">
        <v>166</v>
      </c>
      <c r="C480" s="63">
        <v>7</v>
      </c>
      <c r="D480" s="78" t="s">
        <v>204</v>
      </c>
      <c r="E480" s="49" t="s">
        <v>217</v>
      </c>
      <c r="F480" s="77" t="s">
        <v>66</v>
      </c>
      <c r="G480" s="72">
        <v>5</v>
      </c>
      <c r="H480" s="63" t="s">
        <v>207</v>
      </c>
      <c r="I480" s="73">
        <v>1</v>
      </c>
      <c r="J480" s="74">
        <f>IF($D480="무료",0,IF($D480="메뉴",0,IF($D480="프렙",IFERROR(VLOOKUP($E480,'② 프렙 원가'!$B$6:$F$16,5,FALSE),0),IFERROR(VLOOKUP($E480,'① 식재료 단가'!$B$6:$G$123,6,FALSE),0))))</f>
      </c>
      <c r="K480" s="75">
        <f>IF($D480="메뉴",ROUND($G480*$J480,1),IF($I480&gt;0,ROUND($G480/$I480*$J480,1),0))</f>
      </c>
      <c r="L480" s="64" t="s">
        <v>66</v>
      </c>
    </row>
    <row r="481" spans="1:12" x14ac:dyDescent="0.25">
      <c r="A481" s="77" t="s">
        <v>83</v>
      </c>
      <c r="B481" s="36" t="s">
        <v>166</v>
      </c>
      <c r="C481" s="63">
        <v>8</v>
      </c>
      <c r="D481" s="78" t="s">
        <v>204</v>
      </c>
      <c r="E481" s="49" t="s">
        <v>404</v>
      </c>
      <c r="F481" s="77" t="s">
        <v>66</v>
      </c>
      <c r="G481" s="72">
        <v>3</v>
      </c>
      <c r="H481" s="63" t="s">
        <v>207</v>
      </c>
      <c r="I481" s="73">
        <v>1</v>
      </c>
      <c r="J481" s="74">
        <f>IF($D481="무료",0,IF($D481="메뉴",0,IF($D481="프렙",IFERROR(VLOOKUP($E481,'② 프렙 원가'!$B$6:$F$16,5,FALSE),0),IFERROR(VLOOKUP($E481,'① 식재료 단가'!$B$6:$G$123,6,FALSE),0))))</f>
      </c>
      <c r="K481" s="75">
        <f>IF($D481="메뉴",ROUND($G481*$J481,1),IF($I481&gt;0,ROUND($G481/$I481*$J481,1),0))</f>
      </c>
      <c r="L481" s="64" t="s">
        <v>66</v>
      </c>
    </row>
    <row r="482" spans="1:12" x14ac:dyDescent="0.25">
      <c r="A482" s="70" t="s">
        <v>83</v>
      </c>
      <c r="B482" s="31" t="s">
        <v>167</v>
      </c>
      <c r="C482" s="53">
        <v>1</v>
      </c>
      <c r="D482" s="71" t="s">
        <v>204</v>
      </c>
      <c r="E482" s="44" t="s">
        <v>217</v>
      </c>
      <c r="F482" s="70" t="s">
        <v>66</v>
      </c>
      <c r="G482" s="72">
        <v>10</v>
      </c>
      <c r="H482" s="53" t="s">
        <v>207</v>
      </c>
      <c r="I482" s="73">
        <v>1</v>
      </c>
      <c r="J482" s="74">
        <f>IF($D482="무료",0,IF($D482="메뉴",0,IF($D482="프렙",IFERROR(VLOOKUP($E482,'② 프렙 원가'!$B$6:$F$16,5,FALSE),0),IFERROR(VLOOKUP($E482,'① 식재료 단가'!$B$6:$G$123,6,FALSE),0))))</f>
      </c>
      <c r="K482" s="75">
        <f>IF($D482="메뉴",ROUND($G482*$J482,1),IF($I482&gt;0,ROUND($G482/$I482*$J482,1),0))</f>
      </c>
      <c r="L482" s="54" t="s">
        <v>66</v>
      </c>
    </row>
    <row r="483" spans="1:12" x14ac:dyDescent="0.25">
      <c r="A483" s="70" t="s">
        <v>83</v>
      </c>
      <c r="B483" s="31" t="s">
        <v>167</v>
      </c>
      <c r="C483" s="53">
        <v>2</v>
      </c>
      <c r="D483" s="71" t="s">
        <v>204</v>
      </c>
      <c r="E483" s="44" t="s">
        <v>410</v>
      </c>
      <c r="F483" s="70" t="s">
        <v>411</v>
      </c>
      <c r="G483" s="72">
        <v>100</v>
      </c>
      <c r="H483" s="53" t="s">
        <v>207</v>
      </c>
      <c r="I483" s="73">
        <v>1</v>
      </c>
      <c r="J483" s="74">
        <f>IF($D483="무료",0,IF($D483="메뉴",0,IF($D483="프렙",IFERROR(VLOOKUP($E483,'② 프렙 원가'!$B$6:$F$16,5,FALSE),0),IFERROR(VLOOKUP($E483,'① 식재료 단가'!$B$6:$G$123,6,FALSE),0))))</f>
      </c>
      <c r="K483" s="75">
        <f>IF($D483="메뉴",ROUND($G483*$J483,1),IF($I483&gt;0,ROUND($G483/$I483*$J483,1),0))</f>
      </c>
      <c r="L483" s="54" t="s">
        <v>66</v>
      </c>
    </row>
    <row r="484" spans="1:12" x14ac:dyDescent="0.25">
      <c r="A484" s="70" t="s">
        <v>83</v>
      </c>
      <c r="B484" s="31" t="s">
        <v>167</v>
      </c>
      <c r="C484" s="53">
        <v>3</v>
      </c>
      <c r="D484" s="80" t="s">
        <v>396</v>
      </c>
      <c r="E484" s="44" t="s">
        <v>397</v>
      </c>
      <c r="F484" s="70" t="s">
        <v>66</v>
      </c>
      <c r="G484" s="72">
        <v>20</v>
      </c>
      <c r="H484" s="53" t="s">
        <v>239</v>
      </c>
      <c r="I484" s="73">
        <v>1</v>
      </c>
      <c r="J484" s="74">
        <f>IF($D484="무료",0,IF($D484="메뉴",0,IF($D484="프렙",IFERROR(VLOOKUP($E484,'② 프렙 원가'!$B$6:$F$16,5,FALSE),0),IFERROR(VLOOKUP($E484,'① 식재료 단가'!$B$6:$G$123,6,FALSE),0))))</f>
      </c>
      <c r="K484" s="75">
        <f>IF($D484="메뉴",ROUND($G484*$J484,1),IF($I484&gt;0,ROUND($G484/$I484*$J484,1),0))</f>
      </c>
      <c r="L484" s="54" t="s">
        <v>366</v>
      </c>
    </row>
    <row r="485" spans="1:12" x14ac:dyDescent="0.25">
      <c r="A485" s="70" t="s">
        <v>83</v>
      </c>
      <c r="B485" s="31" t="s">
        <v>167</v>
      </c>
      <c r="C485" s="53">
        <v>4</v>
      </c>
      <c r="D485" s="71" t="s">
        <v>204</v>
      </c>
      <c r="E485" s="44" t="s">
        <v>216</v>
      </c>
      <c r="F485" s="70" t="s">
        <v>66</v>
      </c>
      <c r="G485" s="72">
        <v>3</v>
      </c>
      <c r="H485" s="53" t="s">
        <v>207</v>
      </c>
      <c r="I485" s="73">
        <v>1</v>
      </c>
      <c r="J485" s="74">
        <f>IF($D485="무료",0,IF($D485="메뉴",0,IF($D485="프렙",IFERROR(VLOOKUP($E485,'② 프렙 원가'!$B$6:$F$16,5,FALSE),0),IFERROR(VLOOKUP($E485,'① 식재료 단가'!$B$6:$G$123,6,FALSE),0))))</f>
      </c>
      <c r="K485" s="75">
        <f>IF($D485="메뉴",ROUND($G485*$J485,1),IF($I485&gt;0,ROUND($G485/$I485*$J485,1),0))</f>
      </c>
      <c r="L485" s="54" t="s">
        <v>66</v>
      </c>
    </row>
    <row r="486" spans="1:12" x14ac:dyDescent="0.25">
      <c r="A486" s="77" t="s">
        <v>83</v>
      </c>
      <c r="B486" s="36" t="s">
        <v>168</v>
      </c>
      <c r="C486" s="63">
        <v>1</v>
      </c>
      <c r="D486" s="78" t="s">
        <v>204</v>
      </c>
      <c r="E486" s="49" t="s">
        <v>308</v>
      </c>
      <c r="F486" s="77" t="s">
        <v>66</v>
      </c>
      <c r="G486" s="72">
        <v>100</v>
      </c>
      <c r="H486" s="63" t="s">
        <v>207</v>
      </c>
      <c r="I486" s="73">
        <v>1</v>
      </c>
      <c r="J486" s="74">
        <f>IF($D486="무료",0,IF($D486="메뉴",0,IF($D486="프렙",IFERROR(VLOOKUP($E486,'② 프렙 원가'!$B$6:$F$16,5,FALSE),0),IFERROR(VLOOKUP($E486,'① 식재료 단가'!$B$6:$G$123,6,FALSE),0))))</f>
      </c>
      <c r="K486" s="75">
        <f>IF($D486="메뉴",ROUND($G486*$J486,1),IF($I486&gt;0,ROUND($G486/$I486*$J486,1),0))</f>
      </c>
      <c r="L486" s="64" t="s">
        <v>66</v>
      </c>
    </row>
    <row r="487" spans="1:12" x14ac:dyDescent="0.25">
      <c r="A487" s="77" t="s">
        <v>83</v>
      </c>
      <c r="B487" s="36" t="s">
        <v>168</v>
      </c>
      <c r="C487" s="63">
        <v>2</v>
      </c>
      <c r="D487" s="78" t="s">
        <v>204</v>
      </c>
      <c r="E487" s="49" t="s">
        <v>228</v>
      </c>
      <c r="F487" s="77" t="s">
        <v>66</v>
      </c>
      <c r="G487" s="72">
        <v>30</v>
      </c>
      <c r="H487" s="63" t="s">
        <v>207</v>
      </c>
      <c r="I487" s="73">
        <v>1</v>
      </c>
      <c r="J487" s="74">
        <f>IF($D487="무료",0,IF($D487="메뉴",0,IF($D487="프렙",IFERROR(VLOOKUP($E487,'② 프렙 원가'!$B$6:$F$16,5,FALSE),0),IFERROR(VLOOKUP($E487,'① 식재료 단가'!$B$6:$G$123,6,FALSE),0))))</f>
      </c>
      <c r="K487" s="75">
        <f>IF($D487="메뉴",ROUND($G487*$J487,1),IF($I487&gt;0,ROUND($G487/$I487*$J487,1),0))</f>
      </c>
      <c r="L487" s="64" t="s">
        <v>412</v>
      </c>
    </row>
    <row r="488" spans="1:12" x14ac:dyDescent="0.25">
      <c r="A488" s="77" t="s">
        <v>83</v>
      </c>
      <c r="B488" s="36" t="s">
        <v>168</v>
      </c>
      <c r="C488" s="63">
        <v>3</v>
      </c>
      <c r="D488" s="78" t="s">
        <v>204</v>
      </c>
      <c r="E488" s="49" t="s">
        <v>232</v>
      </c>
      <c r="F488" s="77" t="s">
        <v>66</v>
      </c>
      <c r="G488" s="72">
        <v>10</v>
      </c>
      <c r="H488" s="63" t="s">
        <v>207</v>
      </c>
      <c r="I488" s="73">
        <v>1</v>
      </c>
      <c r="J488" s="74">
        <f>IF($D488="무료",0,IF($D488="메뉴",0,IF($D488="프렙",IFERROR(VLOOKUP($E488,'② 프렙 원가'!$B$6:$F$16,5,FALSE),0),IFERROR(VLOOKUP($E488,'① 식재료 단가'!$B$6:$G$123,6,FALSE),0))))</f>
      </c>
      <c r="K488" s="75">
        <f>IF($D488="메뉴",ROUND($G488*$J488,1),IF($I488&gt;0,ROUND($G488/$I488*$J488,1),0))</f>
      </c>
      <c r="L488" s="64" t="s">
        <v>66</v>
      </c>
    </row>
    <row r="489" spans="1:12" x14ac:dyDescent="0.25">
      <c r="A489" s="77" t="s">
        <v>83</v>
      </c>
      <c r="B489" s="36" t="s">
        <v>168</v>
      </c>
      <c r="C489" s="63">
        <v>4</v>
      </c>
      <c r="D489" s="78" t="s">
        <v>204</v>
      </c>
      <c r="E489" s="49" t="s">
        <v>217</v>
      </c>
      <c r="F489" s="77" t="s">
        <v>66</v>
      </c>
      <c r="G489" s="72">
        <v>5</v>
      </c>
      <c r="H489" s="63" t="s">
        <v>207</v>
      </c>
      <c r="I489" s="73">
        <v>1</v>
      </c>
      <c r="J489" s="74">
        <f>IF($D489="무료",0,IF($D489="메뉴",0,IF($D489="프렙",IFERROR(VLOOKUP($E489,'② 프렙 원가'!$B$6:$F$16,5,FALSE),0),IFERROR(VLOOKUP($E489,'① 식재료 단가'!$B$6:$G$123,6,FALSE),0))))</f>
      </c>
      <c r="K489" s="75">
        <f>IF($D489="메뉴",ROUND($G489*$J489,1),IF($I489&gt;0,ROUND($G489/$I489*$J489,1),0))</f>
      </c>
      <c r="L489" s="64" t="s">
        <v>66</v>
      </c>
    </row>
    <row r="490" spans="1:12" x14ac:dyDescent="0.25">
      <c r="A490" s="77" t="s">
        <v>83</v>
      </c>
      <c r="B490" s="36" t="s">
        <v>168</v>
      </c>
      <c r="C490" s="63">
        <v>5</v>
      </c>
      <c r="D490" s="78" t="s">
        <v>204</v>
      </c>
      <c r="E490" s="49" t="s">
        <v>216</v>
      </c>
      <c r="F490" s="77" t="s">
        <v>66</v>
      </c>
      <c r="G490" s="72">
        <v>5</v>
      </c>
      <c r="H490" s="63" t="s">
        <v>207</v>
      </c>
      <c r="I490" s="73">
        <v>1</v>
      </c>
      <c r="J490" s="74">
        <f>IF($D490="무료",0,IF($D490="메뉴",0,IF($D490="프렙",IFERROR(VLOOKUP($E490,'② 프렙 원가'!$B$6:$F$16,5,FALSE),0),IFERROR(VLOOKUP($E490,'① 식재료 단가'!$B$6:$G$123,6,FALSE),0))))</f>
      </c>
      <c r="K490" s="75">
        <f>IF($D490="메뉴",ROUND($G490*$J490,1),IF($I490&gt;0,ROUND($G490/$I490*$J490,1),0))</f>
      </c>
      <c r="L490" s="64" t="s">
        <v>66</v>
      </c>
    </row>
    <row r="491" spans="1:12" x14ac:dyDescent="0.25">
      <c r="A491" s="77" t="s">
        <v>83</v>
      </c>
      <c r="B491" s="36" t="s">
        <v>168</v>
      </c>
      <c r="C491" s="63">
        <v>6</v>
      </c>
      <c r="D491" s="78" t="s">
        <v>204</v>
      </c>
      <c r="E491" s="49" t="s">
        <v>404</v>
      </c>
      <c r="F491" s="77" t="s">
        <v>66</v>
      </c>
      <c r="G491" s="72">
        <v>3</v>
      </c>
      <c r="H491" s="63" t="s">
        <v>207</v>
      </c>
      <c r="I491" s="73">
        <v>1</v>
      </c>
      <c r="J491" s="74">
        <f>IF($D491="무료",0,IF($D491="메뉴",0,IF($D491="프렙",IFERROR(VLOOKUP($E491,'② 프렙 원가'!$B$6:$F$16,5,FALSE),0),IFERROR(VLOOKUP($E491,'① 식재료 단가'!$B$6:$G$123,6,FALSE),0))))</f>
      </c>
      <c r="K491" s="75">
        <f>IF($D491="메뉴",ROUND($G491*$J491,1),IF($I491&gt;0,ROUND($G491/$I491*$J491,1),0))</f>
      </c>
      <c r="L491" s="64" t="s">
        <v>413</v>
      </c>
    </row>
    <row r="492" spans="1:12" x14ac:dyDescent="0.25">
      <c r="A492" s="77" t="s">
        <v>83</v>
      </c>
      <c r="B492" s="36" t="s">
        <v>168</v>
      </c>
      <c r="C492" s="63">
        <v>7</v>
      </c>
      <c r="D492" s="78" t="s">
        <v>204</v>
      </c>
      <c r="E492" s="49" t="s">
        <v>238</v>
      </c>
      <c r="F492" s="77" t="s">
        <v>66</v>
      </c>
      <c r="G492" s="72">
        <v>5</v>
      </c>
      <c r="H492" s="63" t="s">
        <v>207</v>
      </c>
      <c r="I492" s="73">
        <v>1</v>
      </c>
      <c r="J492" s="74">
        <f>IF($D492="무료",0,IF($D492="메뉴",0,IF($D492="프렙",IFERROR(VLOOKUP($E492,'② 프렙 원가'!$B$6:$F$16,5,FALSE),0),IFERROR(VLOOKUP($E492,'① 식재료 단가'!$B$6:$G$123,6,FALSE),0))))</f>
      </c>
      <c r="K492" s="75">
        <f>IF($D492="메뉴",ROUND($G492*$J492,1),IF($I492&gt;0,ROUND($G492/$I492*$J492,1),0))</f>
      </c>
      <c r="L492" s="64" t="s">
        <v>66</v>
      </c>
    </row>
    <row r="493" spans="1:12" x14ac:dyDescent="0.25">
      <c r="A493" s="70" t="s">
        <v>83</v>
      </c>
      <c r="B493" s="31" t="s">
        <v>169</v>
      </c>
      <c r="C493" s="53">
        <v>1</v>
      </c>
      <c r="D493" s="71" t="s">
        <v>204</v>
      </c>
      <c r="E493" s="44" t="s">
        <v>308</v>
      </c>
      <c r="F493" s="70" t="s">
        <v>66</v>
      </c>
      <c r="G493" s="72">
        <v>160</v>
      </c>
      <c r="H493" s="53" t="s">
        <v>207</v>
      </c>
      <c r="I493" s="73">
        <v>1</v>
      </c>
      <c r="J493" s="74">
        <f>IF($D493="무료",0,IF($D493="메뉴",0,IF($D493="프렙",IFERROR(VLOOKUP($E493,'② 프렙 원가'!$B$6:$F$16,5,FALSE),0),IFERROR(VLOOKUP($E493,'① 식재료 단가'!$B$6:$G$123,6,FALSE),0))))</f>
      </c>
      <c r="K493" s="75">
        <f>IF($D493="메뉴",ROUND($G493*$J493,1),IF($I493&gt;0,ROUND($G493/$I493*$J493,1),0))</f>
      </c>
      <c r="L493" s="54" t="s">
        <v>66</v>
      </c>
    </row>
    <row r="494" spans="1:12" x14ac:dyDescent="0.25">
      <c r="A494" s="70" t="s">
        <v>83</v>
      </c>
      <c r="B494" s="31" t="s">
        <v>169</v>
      </c>
      <c r="C494" s="53">
        <v>2</v>
      </c>
      <c r="D494" s="71" t="s">
        <v>204</v>
      </c>
      <c r="E494" s="44" t="s">
        <v>414</v>
      </c>
      <c r="F494" s="70" t="s">
        <v>66</v>
      </c>
      <c r="G494" s="72">
        <v>20</v>
      </c>
      <c r="H494" s="53" t="s">
        <v>207</v>
      </c>
      <c r="I494" s="73">
        <v>1</v>
      </c>
      <c r="J494" s="74">
        <f>IF($D494="무료",0,IF($D494="메뉴",0,IF($D494="프렙",IFERROR(VLOOKUP($E494,'② 프렙 원가'!$B$6:$F$16,5,FALSE),0),IFERROR(VLOOKUP($E494,'① 식재료 단가'!$B$6:$G$123,6,FALSE),0))))</f>
      </c>
      <c r="K494" s="75">
        <f>IF($D494="메뉴",ROUND($G494*$J494,1),IF($I494&gt;0,ROUND($G494/$I494*$J494,1),0))</f>
      </c>
      <c r="L494" s="54" t="s">
        <v>408</v>
      </c>
    </row>
    <row r="495" spans="1:12" x14ac:dyDescent="0.25">
      <c r="A495" s="70" t="s">
        <v>83</v>
      </c>
      <c r="B495" s="31" t="s">
        <v>169</v>
      </c>
      <c r="C495" s="53">
        <v>3</v>
      </c>
      <c r="D495" s="71" t="s">
        <v>204</v>
      </c>
      <c r="E495" s="44" t="s">
        <v>228</v>
      </c>
      <c r="F495" s="70" t="s">
        <v>66</v>
      </c>
      <c r="G495" s="72">
        <v>30</v>
      </c>
      <c r="H495" s="53" t="s">
        <v>207</v>
      </c>
      <c r="I495" s="73">
        <v>1</v>
      </c>
      <c r="J495" s="74">
        <f>IF($D495="무료",0,IF($D495="메뉴",0,IF($D495="프렙",IFERROR(VLOOKUP($E495,'② 프렙 원가'!$B$6:$F$16,5,FALSE),0),IFERROR(VLOOKUP($E495,'① 식재료 단가'!$B$6:$G$123,6,FALSE),0))))</f>
      </c>
      <c r="K495" s="75">
        <f>IF($D495="메뉴",ROUND($G495*$J495,1),IF($I495&gt;0,ROUND($G495/$I495*$J495,1),0))</f>
      </c>
      <c r="L495" s="54" t="s">
        <v>66</v>
      </c>
    </row>
    <row r="496" spans="1:12" x14ac:dyDescent="0.25">
      <c r="A496" s="70" t="s">
        <v>83</v>
      </c>
      <c r="B496" s="31" t="s">
        <v>169</v>
      </c>
      <c r="C496" s="53">
        <v>4</v>
      </c>
      <c r="D496" s="71" t="s">
        <v>204</v>
      </c>
      <c r="E496" s="44" t="s">
        <v>232</v>
      </c>
      <c r="F496" s="70" t="s">
        <v>66</v>
      </c>
      <c r="G496" s="72">
        <v>10</v>
      </c>
      <c r="H496" s="53" t="s">
        <v>207</v>
      </c>
      <c r="I496" s="73">
        <v>1</v>
      </c>
      <c r="J496" s="74">
        <f>IF($D496="무료",0,IF($D496="메뉴",0,IF($D496="프렙",IFERROR(VLOOKUP($E496,'② 프렙 원가'!$B$6:$F$16,5,FALSE),0),IFERROR(VLOOKUP($E496,'① 식재료 단가'!$B$6:$G$123,6,FALSE),0))))</f>
      </c>
      <c r="K496" s="75">
        <f>IF($D496="메뉴",ROUND($G496*$J496,1),IF($I496&gt;0,ROUND($G496/$I496*$J496,1),0))</f>
      </c>
      <c r="L496" s="54" t="s">
        <v>66</v>
      </c>
    </row>
    <row r="497" spans="1:12" x14ac:dyDescent="0.25">
      <c r="A497" s="70" t="s">
        <v>83</v>
      </c>
      <c r="B497" s="31" t="s">
        <v>169</v>
      </c>
      <c r="C497" s="53">
        <v>5</v>
      </c>
      <c r="D497" s="71" t="s">
        <v>204</v>
      </c>
      <c r="E497" s="44" t="s">
        <v>217</v>
      </c>
      <c r="F497" s="70" t="s">
        <v>66</v>
      </c>
      <c r="G497" s="72">
        <v>5</v>
      </c>
      <c r="H497" s="53" t="s">
        <v>207</v>
      </c>
      <c r="I497" s="73">
        <v>1</v>
      </c>
      <c r="J497" s="74">
        <f>IF($D497="무료",0,IF($D497="메뉴",0,IF($D497="프렙",IFERROR(VLOOKUP($E497,'② 프렙 원가'!$B$6:$F$16,5,FALSE),0),IFERROR(VLOOKUP($E497,'① 식재료 단가'!$B$6:$G$123,6,FALSE),0))))</f>
      </c>
      <c r="K497" s="75">
        <f>IF($D497="메뉴",ROUND($G497*$J497,1),IF($I497&gt;0,ROUND($G497/$I497*$J497,1),0))</f>
      </c>
      <c r="L497" s="54" t="s">
        <v>66</v>
      </c>
    </row>
    <row r="498" spans="1:12" x14ac:dyDescent="0.25">
      <c r="A498" s="70" t="s">
        <v>83</v>
      </c>
      <c r="B498" s="31" t="s">
        <v>169</v>
      </c>
      <c r="C498" s="53">
        <v>6</v>
      </c>
      <c r="D498" s="71" t="s">
        <v>204</v>
      </c>
      <c r="E498" s="44" t="s">
        <v>216</v>
      </c>
      <c r="F498" s="70" t="s">
        <v>66</v>
      </c>
      <c r="G498" s="72">
        <v>5</v>
      </c>
      <c r="H498" s="53" t="s">
        <v>207</v>
      </c>
      <c r="I498" s="73">
        <v>1</v>
      </c>
      <c r="J498" s="74">
        <f>IF($D498="무료",0,IF($D498="메뉴",0,IF($D498="프렙",IFERROR(VLOOKUP($E498,'② 프렙 원가'!$B$6:$F$16,5,FALSE),0),IFERROR(VLOOKUP($E498,'① 식재료 단가'!$B$6:$G$123,6,FALSE),0))))</f>
      </c>
      <c r="K498" s="75">
        <f>IF($D498="메뉴",ROUND($G498*$J498,1),IF($I498&gt;0,ROUND($G498/$I498*$J498,1),0))</f>
      </c>
      <c r="L498" s="54" t="s">
        <v>66</v>
      </c>
    </row>
    <row r="499" spans="1:12" x14ac:dyDescent="0.25">
      <c r="A499" s="70" t="s">
        <v>83</v>
      </c>
      <c r="B499" s="31" t="s">
        <v>169</v>
      </c>
      <c r="C499" s="53">
        <v>7</v>
      </c>
      <c r="D499" s="71" t="s">
        <v>204</v>
      </c>
      <c r="E499" s="44" t="s">
        <v>404</v>
      </c>
      <c r="F499" s="70" t="s">
        <v>66</v>
      </c>
      <c r="G499" s="72">
        <v>3</v>
      </c>
      <c r="H499" s="53" t="s">
        <v>207</v>
      </c>
      <c r="I499" s="73">
        <v>1</v>
      </c>
      <c r="J499" s="74">
        <f>IF($D499="무료",0,IF($D499="메뉴",0,IF($D499="프렙",IFERROR(VLOOKUP($E499,'② 프렙 원가'!$B$6:$F$16,5,FALSE),0),IFERROR(VLOOKUP($E499,'① 식재료 단가'!$B$6:$G$123,6,FALSE),0))))</f>
      </c>
      <c r="K499" s="75">
        <f>IF($D499="메뉴",ROUND($G499*$J499,1),IF($I499&gt;0,ROUND($G499/$I499*$J499,1),0))</f>
      </c>
      <c r="L499" s="54" t="s">
        <v>66</v>
      </c>
    </row>
    <row r="500" spans="1:12" x14ac:dyDescent="0.25">
      <c r="A500" s="77" t="s">
        <v>84</v>
      </c>
      <c r="B500" s="36" t="s">
        <v>170</v>
      </c>
      <c r="C500" s="63">
        <v>1</v>
      </c>
      <c r="D500" s="78" t="s">
        <v>204</v>
      </c>
      <c r="E500" s="49" t="s">
        <v>278</v>
      </c>
      <c r="F500" s="77" t="s">
        <v>66</v>
      </c>
      <c r="G500" s="72">
        <v>200</v>
      </c>
      <c r="H500" s="63" t="s">
        <v>207</v>
      </c>
      <c r="I500" s="73">
        <v>1</v>
      </c>
      <c r="J500" s="74">
        <f>IF($D500="무료",0,IF($D500="메뉴",0,IF($D500="프렙",IFERROR(VLOOKUP($E500,'② 프렙 원가'!$B$6:$F$16,5,FALSE),0),IFERROR(VLOOKUP($E500,'① 식재료 단가'!$B$6:$G$123,6,FALSE),0))))</f>
      </c>
      <c r="K500" s="75">
        <f>IF($D500="메뉴",ROUND($G500*$J500,1),IF($I500&gt;0,ROUND($G500/$I500*$J500,1),0))</f>
      </c>
      <c r="L500" s="64" t="s">
        <v>261</v>
      </c>
    </row>
    <row r="501" spans="1:12" x14ac:dyDescent="0.25">
      <c r="A501" s="77" t="s">
        <v>84</v>
      </c>
      <c r="B501" s="36" t="s">
        <v>170</v>
      </c>
      <c r="C501" s="63">
        <v>2</v>
      </c>
      <c r="D501" s="78" t="s">
        <v>204</v>
      </c>
      <c r="E501" s="49" t="s">
        <v>415</v>
      </c>
      <c r="F501" s="77" t="s">
        <v>416</v>
      </c>
      <c r="G501" s="72">
        <v>200</v>
      </c>
      <c r="H501" s="63" t="s">
        <v>207</v>
      </c>
      <c r="I501" s="73">
        <v>1</v>
      </c>
      <c r="J501" s="74">
        <f>IF($D501="무료",0,IF($D501="메뉴",0,IF($D501="프렙",IFERROR(VLOOKUP($E501,'② 프렙 원가'!$B$6:$F$16,5,FALSE),0),IFERROR(VLOOKUP($E501,'① 식재료 단가'!$B$6:$G$123,6,FALSE),0))))</f>
      </c>
      <c r="K501" s="75">
        <f>IF($D501="메뉴",ROUND($G501*$J501,1),IF($I501&gt;0,ROUND($G501/$I501*$J501,1),0))</f>
      </c>
      <c r="L501" s="64" t="s">
        <v>417</v>
      </c>
    </row>
    <row r="502" spans="1:12" x14ac:dyDescent="0.25">
      <c r="A502" s="77" t="s">
        <v>84</v>
      </c>
      <c r="B502" s="36" t="s">
        <v>170</v>
      </c>
      <c r="C502" s="63">
        <v>3</v>
      </c>
      <c r="D502" s="78" t="s">
        <v>204</v>
      </c>
      <c r="E502" s="49" t="s">
        <v>279</v>
      </c>
      <c r="F502" s="77" t="s">
        <v>66</v>
      </c>
      <c r="G502" s="72">
        <v>50</v>
      </c>
      <c r="H502" s="63" t="s">
        <v>207</v>
      </c>
      <c r="I502" s="73">
        <v>1</v>
      </c>
      <c r="J502" s="74">
        <f>IF($D502="무료",0,IF($D502="메뉴",0,IF($D502="프렙",IFERROR(VLOOKUP($E502,'② 프렙 원가'!$B$6:$F$16,5,FALSE),0),IFERROR(VLOOKUP($E502,'① 식재료 단가'!$B$6:$G$123,6,FALSE),0))))</f>
      </c>
      <c r="K502" s="75">
        <f>IF($D502="메뉴",ROUND($G502*$J502,1),IF($I502&gt;0,ROUND($G502/$I502*$J502,1),0))</f>
      </c>
      <c r="L502" s="64" t="s">
        <v>418</v>
      </c>
    </row>
    <row r="503" spans="1:12" x14ac:dyDescent="0.25">
      <c r="A503" s="77" t="s">
        <v>84</v>
      </c>
      <c r="B503" s="36" t="s">
        <v>170</v>
      </c>
      <c r="C503" s="63">
        <v>4</v>
      </c>
      <c r="D503" s="79" t="s">
        <v>209</v>
      </c>
      <c r="E503" s="49" t="s">
        <v>407</v>
      </c>
      <c r="F503" s="77" t="s">
        <v>66</v>
      </c>
      <c r="G503" s="72">
        <v>50</v>
      </c>
      <c r="H503" s="63" t="s">
        <v>207</v>
      </c>
      <c r="I503" s="73">
        <v>1</v>
      </c>
      <c r="J503" s="74">
        <f>IF($D503="무료",0,IF($D503="메뉴",0,IF($D503="프렙",IFERROR(VLOOKUP($E503,'② 프렙 원가'!$B$6:$F$16,5,FALSE),0),IFERROR(VLOOKUP($E503,'① 식재료 단가'!$B$6:$G$123,6,FALSE),0))))</f>
      </c>
      <c r="K503" s="75">
        <f>IF($D503="메뉴",ROUND($G503*$J503,1),IF($I503&gt;0,ROUND($G503/$I503*$J503,1),0))</f>
      </c>
      <c r="L503" s="64" t="s">
        <v>66</v>
      </c>
    </row>
    <row r="504" spans="1:12" x14ac:dyDescent="0.25">
      <c r="A504" s="77" t="s">
        <v>84</v>
      </c>
      <c r="B504" s="36" t="s">
        <v>170</v>
      </c>
      <c r="C504" s="63">
        <v>5</v>
      </c>
      <c r="D504" s="78" t="s">
        <v>204</v>
      </c>
      <c r="E504" s="49" t="s">
        <v>328</v>
      </c>
      <c r="F504" s="77" t="s">
        <v>419</v>
      </c>
      <c r="G504" s="72">
        <v>15</v>
      </c>
      <c r="H504" s="63" t="s">
        <v>207</v>
      </c>
      <c r="I504" s="73">
        <v>1</v>
      </c>
      <c r="J504" s="74">
        <f>IF($D504="무료",0,IF($D504="메뉴",0,IF($D504="프렙",IFERROR(VLOOKUP($E504,'② 프렙 원가'!$B$6:$F$16,5,FALSE),0),IFERROR(VLOOKUP($E504,'① 식재료 단가'!$B$6:$G$123,6,FALSE),0))))</f>
      </c>
      <c r="K504" s="75">
        <f>IF($D504="메뉴",ROUND($G504*$J504,1),IF($I504&gt;0,ROUND($G504/$I504*$J504,1),0))</f>
      </c>
      <c r="L504" s="64" t="s">
        <v>66</v>
      </c>
    </row>
    <row r="505" spans="1:12" x14ac:dyDescent="0.25">
      <c r="A505" s="77" t="s">
        <v>84</v>
      </c>
      <c r="B505" s="36" t="s">
        <v>170</v>
      </c>
      <c r="C505" s="63">
        <v>6</v>
      </c>
      <c r="D505" s="78" t="s">
        <v>204</v>
      </c>
      <c r="E505" s="49" t="s">
        <v>420</v>
      </c>
      <c r="F505" s="77" t="s">
        <v>66</v>
      </c>
      <c r="G505" s="72">
        <v>1</v>
      </c>
      <c r="H505" s="63" t="s">
        <v>207</v>
      </c>
      <c r="I505" s="73">
        <v>1</v>
      </c>
      <c r="J505" s="74">
        <f>IF($D505="무료",0,IF($D505="메뉴",0,IF($D505="프렙",IFERROR(VLOOKUP($E505,'② 프렙 원가'!$B$6:$F$16,5,FALSE),0),IFERROR(VLOOKUP($E505,'① 식재료 단가'!$B$6:$G$123,6,FALSE),0))))</f>
      </c>
      <c r="K505" s="75">
        <f>IF($D505="메뉴",ROUND($G505*$J505,1),IF($I505&gt;0,ROUND($G505/$I505*$J505,1),0))</f>
      </c>
      <c r="L505" s="64" t="s">
        <v>421</v>
      </c>
    </row>
    <row r="506" spans="1:12" x14ac:dyDescent="0.25">
      <c r="A506" s="77" t="s">
        <v>84</v>
      </c>
      <c r="B506" s="36" t="s">
        <v>170</v>
      </c>
      <c r="C506" s="63">
        <v>7</v>
      </c>
      <c r="D506" s="78" t="s">
        <v>204</v>
      </c>
      <c r="E506" s="49" t="s">
        <v>212</v>
      </c>
      <c r="F506" s="77" t="s">
        <v>66</v>
      </c>
      <c r="G506" s="72">
        <v>20</v>
      </c>
      <c r="H506" s="63" t="s">
        <v>207</v>
      </c>
      <c r="I506" s="73">
        <v>1</v>
      </c>
      <c r="J506" s="74">
        <f>IF($D506="무료",0,IF($D506="메뉴",0,IF($D506="프렙",IFERROR(VLOOKUP($E506,'② 프렙 원가'!$B$6:$F$16,5,FALSE),0),IFERROR(VLOOKUP($E506,'① 식재료 단가'!$B$6:$G$123,6,FALSE),0))))</f>
      </c>
      <c r="K506" s="75">
        <f>IF($D506="메뉴",ROUND($G506*$J506,1),IF($I506&gt;0,ROUND($G506/$I506*$J506,1),0))</f>
      </c>
      <c r="L506" s="64" t="s">
        <v>66</v>
      </c>
    </row>
    <row r="507" spans="1:12" x14ac:dyDescent="0.25">
      <c r="A507" s="77" t="s">
        <v>84</v>
      </c>
      <c r="B507" s="36" t="s">
        <v>170</v>
      </c>
      <c r="C507" s="63">
        <v>8</v>
      </c>
      <c r="D507" s="78" t="s">
        <v>204</v>
      </c>
      <c r="E507" s="49" t="s">
        <v>216</v>
      </c>
      <c r="F507" s="77" t="s">
        <v>66</v>
      </c>
      <c r="G507" s="72">
        <v>10</v>
      </c>
      <c r="H507" s="63" t="s">
        <v>207</v>
      </c>
      <c r="I507" s="73">
        <v>1</v>
      </c>
      <c r="J507" s="74">
        <f>IF($D507="무료",0,IF($D507="메뉴",0,IF($D507="프렙",IFERROR(VLOOKUP($E507,'② 프렙 원가'!$B$6:$F$16,5,FALSE),0),IFERROR(VLOOKUP($E507,'① 식재료 단가'!$B$6:$G$123,6,FALSE),0))))</f>
      </c>
      <c r="K507" s="75">
        <f>IF($D507="메뉴",ROUND($G507*$J507,1),IF($I507&gt;0,ROUND($G507/$I507*$J507,1),0))</f>
      </c>
      <c r="L507" s="64" t="s">
        <v>66</v>
      </c>
    </row>
    <row r="508" spans="1:12" x14ac:dyDescent="0.25">
      <c r="A508" s="77" t="s">
        <v>84</v>
      </c>
      <c r="B508" s="36" t="s">
        <v>170</v>
      </c>
      <c r="C508" s="63">
        <v>9</v>
      </c>
      <c r="D508" s="78" t="s">
        <v>204</v>
      </c>
      <c r="E508" s="49" t="s">
        <v>253</v>
      </c>
      <c r="F508" s="77" t="s">
        <v>422</v>
      </c>
      <c r="G508" s="72">
        <v>5</v>
      </c>
      <c r="H508" s="63" t="s">
        <v>207</v>
      </c>
      <c r="I508" s="73">
        <v>1</v>
      </c>
      <c r="J508" s="74">
        <f>IF($D508="무료",0,IF($D508="메뉴",0,IF($D508="프렙",IFERROR(VLOOKUP($E508,'② 프렙 원가'!$B$6:$F$16,5,FALSE),0),IFERROR(VLOOKUP($E508,'① 식재료 단가'!$B$6:$G$123,6,FALSE),0))))</f>
      </c>
      <c r="K508" s="75">
        <f>IF($D508="메뉴",ROUND($G508*$J508,1),IF($I508&gt;0,ROUND($G508/$I508*$J508,1),0))</f>
      </c>
      <c r="L508" s="64" t="s">
        <v>66</v>
      </c>
    </row>
    <row r="509" spans="1:12" x14ac:dyDescent="0.25">
      <c r="A509" s="77" t="s">
        <v>84</v>
      </c>
      <c r="B509" s="36" t="s">
        <v>170</v>
      </c>
      <c r="C509" s="63">
        <v>10</v>
      </c>
      <c r="D509" s="78" t="s">
        <v>204</v>
      </c>
      <c r="E509" s="49" t="s">
        <v>238</v>
      </c>
      <c r="F509" s="77" t="s">
        <v>66</v>
      </c>
      <c r="G509" s="72">
        <v>20</v>
      </c>
      <c r="H509" s="63" t="s">
        <v>207</v>
      </c>
      <c r="I509" s="73">
        <v>1</v>
      </c>
      <c r="J509" s="74">
        <f>IF($D509="무료",0,IF($D509="메뉴",0,IF($D509="프렙",IFERROR(VLOOKUP($E509,'② 프렙 원가'!$B$6:$F$16,5,FALSE),0),IFERROR(VLOOKUP($E509,'① 식재료 단가'!$B$6:$G$123,6,FALSE),0))))</f>
      </c>
      <c r="K509" s="75">
        <f>IF($D509="메뉴",ROUND($G509*$J509,1),IF($I509&gt;0,ROUND($G509/$I509*$J509,1),0))</f>
      </c>
      <c r="L509" s="64" t="s">
        <v>66</v>
      </c>
    </row>
    <row r="510" spans="1:12" x14ac:dyDescent="0.25">
      <c r="A510" s="70" t="s">
        <v>84</v>
      </c>
      <c r="B510" s="31" t="s">
        <v>171</v>
      </c>
      <c r="C510" s="53">
        <v>1</v>
      </c>
      <c r="D510" s="71" t="s">
        <v>204</v>
      </c>
      <c r="E510" s="44" t="s">
        <v>415</v>
      </c>
      <c r="F510" s="70" t="s">
        <v>416</v>
      </c>
      <c r="G510" s="72">
        <v>200</v>
      </c>
      <c r="H510" s="53" t="s">
        <v>207</v>
      </c>
      <c r="I510" s="73">
        <v>1</v>
      </c>
      <c r="J510" s="74">
        <f>IF($D510="무료",0,IF($D510="메뉴",0,IF($D510="프렙",IFERROR(VLOOKUP($E510,'② 프렙 원가'!$B$6:$F$16,5,FALSE),0),IFERROR(VLOOKUP($E510,'① 식재료 단가'!$B$6:$G$123,6,FALSE),0))))</f>
      </c>
      <c r="K510" s="75">
        <f>IF($D510="메뉴",ROUND($G510*$J510,1),IF($I510&gt;0,ROUND($G510/$I510*$J510,1),0))</f>
      </c>
      <c r="L510" s="54" t="s">
        <v>423</v>
      </c>
    </row>
    <row r="511" spans="1:12" x14ac:dyDescent="0.25">
      <c r="A511" s="70" t="s">
        <v>84</v>
      </c>
      <c r="B511" s="31" t="s">
        <v>171</v>
      </c>
      <c r="C511" s="53">
        <v>2</v>
      </c>
      <c r="D511" s="80" t="s">
        <v>396</v>
      </c>
      <c r="E511" s="44" t="s">
        <v>397</v>
      </c>
      <c r="F511" s="70" t="s">
        <v>66</v>
      </c>
      <c r="G511" s="72">
        <v>350</v>
      </c>
      <c r="H511" s="53" t="s">
        <v>207</v>
      </c>
      <c r="I511" s="73">
        <v>1</v>
      </c>
      <c r="J511" s="74">
        <f>IF($D511="무료",0,IF($D511="메뉴",0,IF($D511="프렙",IFERROR(VLOOKUP($E511,'② 프렙 원가'!$B$6:$F$16,5,FALSE),0),IFERROR(VLOOKUP($E511,'① 식재료 단가'!$B$6:$G$123,6,FALSE),0))))</f>
      </c>
      <c r="K511" s="75">
        <f>IF($D511="메뉴",ROUND($G511*$J511,1),IF($I511&gt;0,ROUND($G511/$I511*$J511,1),0))</f>
      </c>
      <c r="L511" s="54" t="s">
        <v>66</v>
      </c>
    </row>
    <row r="512" spans="1:12" x14ac:dyDescent="0.25">
      <c r="A512" s="70" t="s">
        <v>84</v>
      </c>
      <c r="B512" s="31" t="s">
        <v>171</v>
      </c>
      <c r="C512" s="53">
        <v>3</v>
      </c>
      <c r="D512" s="71" t="s">
        <v>204</v>
      </c>
      <c r="E512" s="44" t="s">
        <v>216</v>
      </c>
      <c r="F512" s="70" t="s">
        <v>66</v>
      </c>
      <c r="G512" s="72">
        <v>5</v>
      </c>
      <c r="H512" s="53" t="s">
        <v>207</v>
      </c>
      <c r="I512" s="73">
        <v>1</v>
      </c>
      <c r="J512" s="74">
        <f>IF($D512="무료",0,IF($D512="메뉴",0,IF($D512="프렙",IFERROR(VLOOKUP($E512,'② 프렙 원가'!$B$6:$F$16,5,FALSE),0),IFERROR(VLOOKUP($E512,'① 식재료 단가'!$B$6:$G$123,6,FALSE),0))))</f>
      </c>
      <c r="K512" s="75">
        <f>IF($D512="메뉴",ROUND($G512*$J512,1),IF($I512&gt;0,ROUND($G512/$I512*$J512,1),0))</f>
      </c>
      <c r="L512" s="54" t="s">
        <v>66</v>
      </c>
    </row>
    <row r="513" spans="1:12" x14ac:dyDescent="0.25">
      <c r="A513" s="70" t="s">
        <v>84</v>
      </c>
      <c r="B513" s="31" t="s">
        <v>171</v>
      </c>
      <c r="C513" s="53">
        <v>4</v>
      </c>
      <c r="D513" s="71" t="s">
        <v>204</v>
      </c>
      <c r="E513" s="44" t="s">
        <v>212</v>
      </c>
      <c r="F513" s="70" t="s">
        <v>66</v>
      </c>
      <c r="G513" s="72">
        <v>5</v>
      </c>
      <c r="H513" s="53" t="s">
        <v>207</v>
      </c>
      <c r="I513" s="73">
        <v>1</v>
      </c>
      <c r="J513" s="74">
        <f>IF($D513="무료",0,IF($D513="메뉴",0,IF($D513="프렙",IFERROR(VLOOKUP($E513,'② 프렙 원가'!$B$6:$F$16,5,FALSE),0),IFERROR(VLOOKUP($E513,'① 식재료 단가'!$B$6:$G$123,6,FALSE),0))))</f>
      </c>
      <c r="K513" s="75">
        <f>IF($D513="메뉴",ROUND($G513*$J513,1),IF($I513&gt;0,ROUND($G513/$I513*$J513,1),0))</f>
      </c>
      <c r="L513" s="54" t="s">
        <v>214</v>
      </c>
    </row>
    <row r="514" spans="1:12" x14ac:dyDescent="0.25">
      <c r="A514" s="70" t="s">
        <v>84</v>
      </c>
      <c r="B514" s="31" t="s">
        <v>171</v>
      </c>
      <c r="C514" s="53">
        <v>5</v>
      </c>
      <c r="D514" s="71" t="s">
        <v>204</v>
      </c>
      <c r="E514" s="44" t="s">
        <v>420</v>
      </c>
      <c r="F514" s="70" t="s">
        <v>66</v>
      </c>
      <c r="G514" s="72">
        <v>0.5</v>
      </c>
      <c r="H514" s="53" t="s">
        <v>207</v>
      </c>
      <c r="I514" s="73">
        <v>1</v>
      </c>
      <c r="J514" s="74">
        <f>IF($D514="무료",0,IF($D514="메뉴",0,IF($D514="프렙",IFERROR(VLOOKUP($E514,'② 프렙 원가'!$B$6:$F$16,5,FALSE),0),IFERROR(VLOOKUP($E514,'① 식재료 단가'!$B$6:$G$123,6,FALSE),0))))</f>
      </c>
      <c r="K514" s="75">
        <f>IF($D514="메뉴",ROUND($G514*$J514,1),IF($I514&gt;0,ROUND($G514/$I514*$J514,1),0))</f>
      </c>
      <c r="L514" s="54" t="s">
        <v>424</v>
      </c>
    </row>
    <row r="515" spans="1:12" x14ac:dyDescent="0.25">
      <c r="A515" s="77" t="s">
        <v>84</v>
      </c>
      <c r="B515" s="36" t="s">
        <v>172</v>
      </c>
      <c r="C515" s="63">
        <v>1</v>
      </c>
      <c r="D515" s="78" t="s">
        <v>204</v>
      </c>
      <c r="E515" s="49" t="s">
        <v>415</v>
      </c>
      <c r="F515" s="77" t="s">
        <v>416</v>
      </c>
      <c r="G515" s="72">
        <v>200</v>
      </c>
      <c r="H515" s="63" t="s">
        <v>207</v>
      </c>
      <c r="I515" s="73">
        <v>1</v>
      </c>
      <c r="J515" s="74">
        <f>IF($D515="무료",0,IF($D515="메뉴",0,IF($D515="프렙",IFERROR(VLOOKUP($E515,'② 프렙 원가'!$B$6:$F$16,5,FALSE),0),IFERROR(VLOOKUP($E515,'① 식재료 단가'!$B$6:$G$123,6,FALSE),0))))</f>
      </c>
      <c r="K515" s="75">
        <f>IF($D515="메뉴",ROUND($G515*$J515,1),IF($I515&gt;0,ROUND($G515/$I515*$J515,1),0))</f>
      </c>
      <c r="L515" s="64" t="s">
        <v>417</v>
      </c>
    </row>
    <row r="516" spans="1:12" x14ac:dyDescent="0.25">
      <c r="A516" s="77" t="s">
        <v>84</v>
      </c>
      <c r="B516" s="36" t="s">
        <v>172</v>
      </c>
      <c r="C516" s="63">
        <v>2</v>
      </c>
      <c r="D516" s="78" t="s">
        <v>204</v>
      </c>
      <c r="E516" s="49" t="s">
        <v>312</v>
      </c>
      <c r="F516" s="77" t="s">
        <v>313</v>
      </c>
      <c r="G516" s="72">
        <v>100</v>
      </c>
      <c r="H516" s="63" t="s">
        <v>207</v>
      </c>
      <c r="I516" s="73">
        <v>1</v>
      </c>
      <c r="J516" s="74">
        <f>IF($D516="무료",0,IF($D516="메뉴",0,IF($D516="프렙",IFERROR(VLOOKUP($E516,'② 프렙 원가'!$B$6:$F$16,5,FALSE),0),IFERROR(VLOOKUP($E516,'① 식재료 단가'!$B$6:$G$123,6,FALSE),0))))</f>
      </c>
      <c r="K516" s="75">
        <f>IF($D516="메뉴",ROUND($G516*$J516,1),IF($I516&gt;0,ROUND($G516/$I516*$J516,1),0))</f>
      </c>
      <c r="L516" s="64" t="s">
        <v>66</v>
      </c>
    </row>
    <row r="517" spans="1:12" x14ac:dyDescent="0.25">
      <c r="A517" s="77" t="s">
        <v>84</v>
      </c>
      <c r="B517" s="36" t="s">
        <v>172</v>
      </c>
      <c r="C517" s="63">
        <v>3</v>
      </c>
      <c r="D517" s="78" t="s">
        <v>204</v>
      </c>
      <c r="E517" s="49" t="s">
        <v>279</v>
      </c>
      <c r="F517" s="77" t="s">
        <v>66</v>
      </c>
      <c r="G517" s="72">
        <v>30</v>
      </c>
      <c r="H517" s="63" t="s">
        <v>207</v>
      </c>
      <c r="I517" s="73">
        <v>1</v>
      </c>
      <c r="J517" s="74">
        <f>IF($D517="무료",0,IF($D517="메뉴",0,IF($D517="프렙",IFERROR(VLOOKUP($E517,'② 프렙 원가'!$B$6:$F$16,5,FALSE),0),IFERROR(VLOOKUP($E517,'① 식재료 단가'!$B$6:$G$123,6,FALSE),0))))</f>
      </c>
      <c r="K517" s="75">
        <f>IF($D517="메뉴",ROUND($G517*$J517,1),IF($I517&gt;0,ROUND($G517/$I517*$J517,1),0))</f>
      </c>
      <c r="L517" s="64" t="s">
        <v>242</v>
      </c>
    </row>
    <row r="518" spans="1:12" x14ac:dyDescent="0.25">
      <c r="A518" s="77" t="s">
        <v>84</v>
      </c>
      <c r="B518" s="36" t="s">
        <v>172</v>
      </c>
      <c r="C518" s="63">
        <v>4</v>
      </c>
      <c r="D518" s="78" t="s">
        <v>204</v>
      </c>
      <c r="E518" s="49" t="s">
        <v>212</v>
      </c>
      <c r="F518" s="77" t="s">
        <v>66</v>
      </c>
      <c r="G518" s="72">
        <v>10</v>
      </c>
      <c r="H518" s="63" t="s">
        <v>207</v>
      </c>
      <c r="I518" s="73">
        <v>1</v>
      </c>
      <c r="J518" s="74">
        <f>IF($D518="무료",0,IF($D518="메뉴",0,IF($D518="프렙",IFERROR(VLOOKUP($E518,'② 프렙 원가'!$B$6:$F$16,5,FALSE),0),IFERROR(VLOOKUP($E518,'① 식재료 단가'!$B$6:$G$123,6,FALSE),0))))</f>
      </c>
      <c r="K518" s="75">
        <f>IF($D518="메뉴",ROUND($G518*$J518,1),IF($I518&gt;0,ROUND($G518/$I518*$J518,1),0))</f>
      </c>
      <c r="L518" s="64" t="s">
        <v>66</v>
      </c>
    </row>
    <row r="519" spans="1:12" x14ac:dyDescent="0.25">
      <c r="A519" s="77" t="s">
        <v>84</v>
      </c>
      <c r="B519" s="36" t="s">
        <v>172</v>
      </c>
      <c r="C519" s="63">
        <v>5</v>
      </c>
      <c r="D519" s="78" t="s">
        <v>204</v>
      </c>
      <c r="E519" s="49" t="s">
        <v>425</v>
      </c>
      <c r="F519" s="77" t="s">
        <v>66</v>
      </c>
      <c r="G519" s="72">
        <v>5</v>
      </c>
      <c r="H519" s="63" t="s">
        <v>207</v>
      </c>
      <c r="I519" s="73">
        <v>1</v>
      </c>
      <c r="J519" s="74">
        <f>IF($D519="무료",0,IF($D519="메뉴",0,IF($D519="프렙",IFERROR(VLOOKUP($E519,'② 프렙 원가'!$B$6:$F$16,5,FALSE),0),IFERROR(VLOOKUP($E519,'① 식재료 단가'!$B$6:$G$123,6,FALSE),0))))</f>
      </c>
      <c r="K519" s="75">
        <f>IF($D519="메뉴",ROUND($G519*$J519,1),IF($I519&gt;0,ROUND($G519/$I519*$J519,1),0))</f>
      </c>
      <c r="L519" s="64" t="s">
        <v>66</v>
      </c>
    </row>
    <row r="520" spans="1:12" x14ac:dyDescent="0.25">
      <c r="A520" s="77" t="s">
        <v>84</v>
      </c>
      <c r="B520" s="36" t="s">
        <v>172</v>
      </c>
      <c r="C520" s="63">
        <v>6</v>
      </c>
      <c r="D520" s="78" t="s">
        <v>204</v>
      </c>
      <c r="E520" s="49" t="s">
        <v>217</v>
      </c>
      <c r="F520" s="77" t="s">
        <v>66</v>
      </c>
      <c r="G520" s="72">
        <v>2</v>
      </c>
      <c r="H520" s="63" t="s">
        <v>207</v>
      </c>
      <c r="I520" s="73">
        <v>1</v>
      </c>
      <c r="J520" s="74">
        <f>IF($D520="무료",0,IF($D520="메뉴",0,IF($D520="프렙",IFERROR(VLOOKUP($E520,'② 프렙 원가'!$B$6:$F$16,5,FALSE),0),IFERROR(VLOOKUP($E520,'① 식재료 단가'!$B$6:$G$123,6,FALSE),0))))</f>
      </c>
      <c r="K520" s="75">
        <f>IF($D520="메뉴",ROUND($G520*$J520,1),IF($I520&gt;0,ROUND($G520/$I520*$J520,1),0))</f>
      </c>
      <c r="L520" s="64" t="s">
        <v>66</v>
      </c>
    </row>
    <row r="521" spans="1:12" x14ac:dyDescent="0.25">
      <c r="A521" s="77" t="s">
        <v>84</v>
      </c>
      <c r="B521" s="36" t="s">
        <v>172</v>
      </c>
      <c r="C521" s="63">
        <v>7</v>
      </c>
      <c r="D521" s="78" t="s">
        <v>204</v>
      </c>
      <c r="E521" s="49" t="s">
        <v>216</v>
      </c>
      <c r="F521" s="77" t="s">
        <v>66</v>
      </c>
      <c r="G521" s="72">
        <v>5</v>
      </c>
      <c r="H521" s="63" t="s">
        <v>207</v>
      </c>
      <c r="I521" s="73">
        <v>1</v>
      </c>
      <c r="J521" s="74">
        <f>IF($D521="무료",0,IF($D521="메뉴",0,IF($D521="프렙",IFERROR(VLOOKUP($E521,'② 프렙 원가'!$B$6:$F$16,5,FALSE),0),IFERROR(VLOOKUP($E521,'① 식재료 단가'!$B$6:$G$123,6,FALSE),0))))</f>
      </c>
      <c r="K521" s="75">
        <f>IF($D521="메뉴",ROUND($G521*$J521,1),IF($I521&gt;0,ROUND($G521/$I521*$J521,1),0))</f>
      </c>
      <c r="L521" s="64" t="s">
        <v>66</v>
      </c>
    </row>
    <row r="522" spans="1:12" x14ac:dyDescent="0.25">
      <c r="A522" s="70" t="s">
        <v>84</v>
      </c>
      <c r="B522" s="31" t="s">
        <v>173</v>
      </c>
      <c r="C522" s="53">
        <v>1</v>
      </c>
      <c r="D522" s="71" t="s">
        <v>204</v>
      </c>
      <c r="E522" s="44" t="s">
        <v>415</v>
      </c>
      <c r="F522" s="70" t="s">
        <v>416</v>
      </c>
      <c r="G522" s="72">
        <v>200</v>
      </c>
      <c r="H522" s="53" t="s">
        <v>207</v>
      </c>
      <c r="I522" s="73">
        <v>1</v>
      </c>
      <c r="J522" s="74">
        <f>IF($D522="무료",0,IF($D522="메뉴",0,IF($D522="프렙",IFERROR(VLOOKUP($E522,'② 프렙 원가'!$B$6:$F$16,5,FALSE),0),IFERROR(VLOOKUP($E522,'① 식재료 단가'!$B$6:$G$123,6,FALSE),0))))</f>
      </c>
      <c r="K522" s="75">
        <f>IF($D522="메뉴",ROUND($G522*$J522,1),IF($I522&gt;0,ROUND($G522/$I522*$J522,1),0))</f>
      </c>
      <c r="L522" s="54" t="s">
        <v>417</v>
      </c>
    </row>
    <row r="523" spans="1:12" x14ac:dyDescent="0.25">
      <c r="A523" s="70" t="s">
        <v>84</v>
      </c>
      <c r="B523" s="31" t="s">
        <v>173</v>
      </c>
      <c r="C523" s="53">
        <v>2</v>
      </c>
      <c r="D523" s="71" t="s">
        <v>204</v>
      </c>
      <c r="E523" s="44" t="s">
        <v>275</v>
      </c>
      <c r="F523" s="70" t="s">
        <v>426</v>
      </c>
      <c r="G523" s="72">
        <v>10</v>
      </c>
      <c r="H523" s="53" t="s">
        <v>207</v>
      </c>
      <c r="I523" s="73">
        <v>1</v>
      </c>
      <c r="J523" s="74">
        <f>IF($D523="무료",0,IF($D523="메뉴",0,IF($D523="프렙",IFERROR(VLOOKUP($E523,'② 프렙 원가'!$B$6:$F$16,5,FALSE),0),IFERROR(VLOOKUP($E523,'① 식재료 단가'!$B$6:$G$123,6,FALSE),0))))</f>
      </c>
      <c r="K523" s="75">
        <f>IF($D523="메뉴",ROUND($G523*$J523,1),IF($I523&gt;0,ROUND($G523/$I523*$J523,1),0))</f>
      </c>
      <c r="L523" s="54" t="s">
        <v>66</v>
      </c>
    </row>
    <row r="524" spans="1:12" x14ac:dyDescent="0.25">
      <c r="A524" s="70" t="s">
        <v>84</v>
      </c>
      <c r="B524" s="31" t="s">
        <v>173</v>
      </c>
      <c r="C524" s="53">
        <v>3</v>
      </c>
      <c r="D524" s="71" t="s">
        <v>204</v>
      </c>
      <c r="E524" s="44" t="s">
        <v>212</v>
      </c>
      <c r="F524" s="70" t="s">
        <v>66</v>
      </c>
      <c r="G524" s="72">
        <v>10</v>
      </c>
      <c r="H524" s="53" t="s">
        <v>207</v>
      </c>
      <c r="I524" s="73">
        <v>1</v>
      </c>
      <c r="J524" s="74">
        <f>IF($D524="무료",0,IF($D524="메뉴",0,IF($D524="프렙",IFERROR(VLOOKUP($E524,'② 프렙 원가'!$B$6:$F$16,5,FALSE),0),IFERROR(VLOOKUP($E524,'① 식재료 단가'!$B$6:$G$123,6,FALSE),0))))</f>
      </c>
      <c r="K524" s="75">
        <f>IF($D524="메뉴",ROUND($G524*$J524,1),IF($I524&gt;0,ROUND($G524/$I524*$J524,1),0))</f>
      </c>
      <c r="L524" s="54" t="s">
        <v>66</v>
      </c>
    </row>
    <row r="525" spans="1:12" x14ac:dyDescent="0.25">
      <c r="A525" s="70" t="s">
        <v>84</v>
      </c>
      <c r="B525" s="31" t="s">
        <v>173</v>
      </c>
      <c r="C525" s="53">
        <v>4</v>
      </c>
      <c r="D525" s="71" t="s">
        <v>204</v>
      </c>
      <c r="E525" s="44" t="s">
        <v>216</v>
      </c>
      <c r="F525" s="70" t="s">
        <v>66</v>
      </c>
      <c r="G525" s="72">
        <v>5</v>
      </c>
      <c r="H525" s="53" t="s">
        <v>207</v>
      </c>
      <c r="I525" s="73">
        <v>1</v>
      </c>
      <c r="J525" s="74">
        <f>IF($D525="무료",0,IF($D525="메뉴",0,IF($D525="프렙",IFERROR(VLOOKUP($E525,'② 프렙 원가'!$B$6:$F$16,5,FALSE),0),IFERROR(VLOOKUP($E525,'① 식재료 단가'!$B$6:$G$123,6,FALSE),0))))</f>
      </c>
      <c r="K525" s="75">
        <f>IF($D525="메뉴",ROUND($G525*$J525,1),IF($I525&gt;0,ROUND($G525/$I525*$J525,1),0))</f>
      </c>
      <c r="L525" s="54" t="s">
        <v>66</v>
      </c>
    </row>
    <row r="526" spans="1:12" x14ac:dyDescent="0.25">
      <c r="A526" s="77" t="s">
        <v>84</v>
      </c>
      <c r="B526" s="36" t="s">
        <v>174</v>
      </c>
      <c r="C526" s="63">
        <v>1</v>
      </c>
      <c r="D526" s="78" t="s">
        <v>204</v>
      </c>
      <c r="E526" s="49" t="s">
        <v>338</v>
      </c>
      <c r="F526" s="77" t="s">
        <v>339</v>
      </c>
      <c r="G526" s="72">
        <v>200</v>
      </c>
      <c r="H526" s="63" t="s">
        <v>207</v>
      </c>
      <c r="I526" s="73">
        <v>1</v>
      </c>
      <c r="J526" s="74">
        <f>IF($D526="무료",0,IF($D526="메뉴",0,IF($D526="프렙",IFERROR(VLOOKUP($E526,'② 프렙 원가'!$B$6:$F$16,5,FALSE),0),IFERROR(VLOOKUP($E526,'① 식재료 단가'!$B$6:$G$123,6,FALSE),0))))</f>
      </c>
      <c r="K526" s="75">
        <f>IF($D526="메뉴",ROUND($G526*$J526,1),IF($I526&gt;0,ROUND($G526/$I526*$J526,1),0))</f>
      </c>
      <c r="L526" s="64" t="s">
        <v>261</v>
      </c>
    </row>
    <row r="527" spans="1:12" x14ac:dyDescent="0.25">
      <c r="A527" s="77" t="s">
        <v>84</v>
      </c>
      <c r="B527" s="36" t="s">
        <v>174</v>
      </c>
      <c r="C527" s="63">
        <v>2</v>
      </c>
      <c r="D527" s="78" t="s">
        <v>204</v>
      </c>
      <c r="E527" s="49" t="s">
        <v>415</v>
      </c>
      <c r="F527" s="77" t="s">
        <v>416</v>
      </c>
      <c r="G527" s="72">
        <v>200</v>
      </c>
      <c r="H527" s="63" t="s">
        <v>207</v>
      </c>
      <c r="I527" s="73">
        <v>1</v>
      </c>
      <c r="J527" s="74">
        <f>IF($D527="무료",0,IF($D527="메뉴",0,IF($D527="프렙",IFERROR(VLOOKUP($E527,'② 프렙 원가'!$B$6:$F$16,5,FALSE),0),IFERROR(VLOOKUP($E527,'① 식재료 단가'!$B$6:$G$123,6,FALSE),0))))</f>
      </c>
      <c r="K527" s="75">
        <f>IF($D527="메뉴",ROUND($G527*$J527,1),IF($I527&gt;0,ROUND($G527/$I527*$J527,1),0))</f>
      </c>
      <c r="L527" s="64" t="s">
        <v>423</v>
      </c>
    </row>
    <row r="528" spans="1:12" x14ac:dyDescent="0.25">
      <c r="A528" s="77" t="s">
        <v>84</v>
      </c>
      <c r="B528" s="36" t="s">
        <v>174</v>
      </c>
      <c r="C528" s="63">
        <v>3</v>
      </c>
      <c r="D528" s="78" t="s">
        <v>204</v>
      </c>
      <c r="E528" s="49" t="s">
        <v>279</v>
      </c>
      <c r="F528" s="77" t="s">
        <v>66</v>
      </c>
      <c r="G528" s="72">
        <v>50</v>
      </c>
      <c r="H528" s="63" t="s">
        <v>207</v>
      </c>
      <c r="I528" s="73">
        <v>1</v>
      </c>
      <c r="J528" s="74">
        <f>IF($D528="무료",0,IF($D528="메뉴",0,IF($D528="프렙",IFERROR(VLOOKUP($E528,'② 프렙 원가'!$B$6:$F$16,5,FALSE),0),IFERROR(VLOOKUP($E528,'① 식재료 단가'!$B$6:$G$123,6,FALSE),0))))</f>
      </c>
      <c r="K528" s="75">
        <f>IF($D528="메뉴",ROUND($G528*$J528,1),IF($I528&gt;0,ROUND($G528/$I528*$J528,1),0))</f>
      </c>
      <c r="L528" s="64" t="s">
        <v>418</v>
      </c>
    </row>
    <row r="529" spans="1:12" x14ac:dyDescent="0.25">
      <c r="A529" s="77" t="s">
        <v>84</v>
      </c>
      <c r="B529" s="36" t="s">
        <v>174</v>
      </c>
      <c r="C529" s="63">
        <v>4</v>
      </c>
      <c r="D529" s="79" t="s">
        <v>209</v>
      </c>
      <c r="E529" s="49" t="s">
        <v>407</v>
      </c>
      <c r="F529" s="77" t="s">
        <v>66</v>
      </c>
      <c r="G529" s="72">
        <v>50</v>
      </c>
      <c r="H529" s="63" t="s">
        <v>207</v>
      </c>
      <c r="I529" s="73">
        <v>1</v>
      </c>
      <c r="J529" s="74">
        <f>IF($D529="무료",0,IF($D529="메뉴",0,IF($D529="프렙",IFERROR(VLOOKUP($E529,'② 프렙 원가'!$B$6:$F$16,5,FALSE),0),IFERROR(VLOOKUP($E529,'① 식재료 단가'!$B$6:$G$123,6,FALSE),0))))</f>
      </c>
      <c r="K529" s="75">
        <f>IF($D529="메뉴",ROUND($G529*$J529,1),IF($I529&gt;0,ROUND($G529/$I529*$J529,1),0))</f>
      </c>
      <c r="L529" s="64" t="s">
        <v>351</v>
      </c>
    </row>
    <row r="530" spans="1:12" x14ac:dyDescent="0.25">
      <c r="A530" s="77" t="s">
        <v>84</v>
      </c>
      <c r="B530" s="36" t="s">
        <v>174</v>
      </c>
      <c r="C530" s="63">
        <v>5</v>
      </c>
      <c r="D530" s="78" t="s">
        <v>204</v>
      </c>
      <c r="E530" s="49" t="s">
        <v>343</v>
      </c>
      <c r="F530" s="77" t="s">
        <v>344</v>
      </c>
      <c r="G530" s="72">
        <v>15</v>
      </c>
      <c r="H530" s="63" t="s">
        <v>207</v>
      </c>
      <c r="I530" s="73">
        <v>1</v>
      </c>
      <c r="J530" s="74">
        <f>IF($D530="무료",0,IF($D530="메뉴",0,IF($D530="프렙",IFERROR(VLOOKUP($E530,'② 프렙 원가'!$B$6:$F$16,5,FALSE),0),IFERROR(VLOOKUP($E530,'① 식재료 단가'!$B$6:$G$123,6,FALSE),0))))</f>
      </c>
      <c r="K530" s="75">
        <f>IF($D530="메뉴",ROUND($G530*$J530,1),IF($I530&gt;0,ROUND($G530/$I530*$J530,1),0))</f>
      </c>
      <c r="L530" s="64" t="s">
        <v>66</v>
      </c>
    </row>
    <row r="531" spans="1:12" x14ac:dyDescent="0.25">
      <c r="A531" s="77" t="s">
        <v>84</v>
      </c>
      <c r="B531" s="36" t="s">
        <v>174</v>
      </c>
      <c r="C531" s="63">
        <v>6</v>
      </c>
      <c r="D531" s="78" t="s">
        <v>204</v>
      </c>
      <c r="E531" s="49" t="s">
        <v>420</v>
      </c>
      <c r="F531" s="77" t="s">
        <v>66</v>
      </c>
      <c r="G531" s="72">
        <v>1</v>
      </c>
      <c r="H531" s="63" t="s">
        <v>207</v>
      </c>
      <c r="I531" s="73">
        <v>1</v>
      </c>
      <c r="J531" s="74">
        <f>IF($D531="무료",0,IF($D531="메뉴",0,IF($D531="프렙",IFERROR(VLOOKUP($E531,'② 프렙 원가'!$B$6:$F$16,5,FALSE),0),IFERROR(VLOOKUP($E531,'① 식재료 단가'!$B$6:$G$123,6,FALSE),0))))</f>
      </c>
      <c r="K531" s="75">
        <f>IF($D531="메뉴",ROUND($G531*$J531,1),IF($I531&gt;0,ROUND($G531/$I531*$J531,1),0))</f>
      </c>
      <c r="L531" s="64" t="s">
        <v>421</v>
      </c>
    </row>
    <row r="532" spans="1:12" x14ac:dyDescent="0.25">
      <c r="A532" s="77" t="s">
        <v>84</v>
      </c>
      <c r="B532" s="36" t="s">
        <v>174</v>
      </c>
      <c r="C532" s="63">
        <v>7</v>
      </c>
      <c r="D532" s="78" t="s">
        <v>204</v>
      </c>
      <c r="E532" s="49" t="s">
        <v>212</v>
      </c>
      <c r="F532" s="77" t="s">
        <v>66</v>
      </c>
      <c r="G532" s="72">
        <v>20</v>
      </c>
      <c r="H532" s="63" t="s">
        <v>207</v>
      </c>
      <c r="I532" s="73">
        <v>1</v>
      </c>
      <c r="J532" s="74">
        <f>IF($D532="무료",0,IF($D532="메뉴",0,IF($D532="프렙",IFERROR(VLOOKUP($E532,'② 프렙 원가'!$B$6:$F$16,5,FALSE),0),IFERROR(VLOOKUP($E532,'① 식재료 단가'!$B$6:$G$123,6,FALSE),0))))</f>
      </c>
      <c r="K532" s="75">
        <f>IF($D532="메뉴",ROUND($G532*$J532,1),IF($I532&gt;0,ROUND($G532/$I532*$J532,1),0))</f>
      </c>
      <c r="L532" s="64" t="s">
        <v>66</v>
      </c>
    </row>
    <row r="533" spans="1:12" x14ac:dyDescent="0.25">
      <c r="A533" s="77" t="s">
        <v>84</v>
      </c>
      <c r="B533" s="36" t="s">
        <v>174</v>
      </c>
      <c r="C533" s="63">
        <v>8</v>
      </c>
      <c r="D533" s="78" t="s">
        <v>204</v>
      </c>
      <c r="E533" s="49" t="s">
        <v>216</v>
      </c>
      <c r="F533" s="77" t="s">
        <v>66</v>
      </c>
      <c r="G533" s="72">
        <v>10</v>
      </c>
      <c r="H533" s="63" t="s">
        <v>207</v>
      </c>
      <c r="I533" s="73">
        <v>1</v>
      </c>
      <c r="J533" s="74">
        <f>IF($D533="무료",0,IF($D533="메뉴",0,IF($D533="프렙",IFERROR(VLOOKUP($E533,'② 프렙 원가'!$B$6:$F$16,5,FALSE),0),IFERROR(VLOOKUP($E533,'① 식재료 단가'!$B$6:$G$123,6,FALSE),0))))</f>
      </c>
      <c r="K533" s="75">
        <f>IF($D533="메뉴",ROUND($G533*$J533,1),IF($I533&gt;0,ROUND($G533/$I533*$J533,1),0))</f>
      </c>
      <c r="L533" s="64" t="s">
        <v>66</v>
      </c>
    </row>
    <row r="534" spans="1:12" x14ac:dyDescent="0.25">
      <c r="A534" s="77" t="s">
        <v>84</v>
      </c>
      <c r="B534" s="36" t="s">
        <v>174</v>
      </c>
      <c r="C534" s="63">
        <v>9</v>
      </c>
      <c r="D534" s="78" t="s">
        <v>204</v>
      </c>
      <c r="E534" s="49" t="s">
        <v>253</v>
      </c>
      <c r="F534" s="77" t="s">
        <v>427</v>
      </c>
      <c r="G534" s="72">
        <v>5</v>
      </c>
      <c r="H534" s="63" t="s">
        <v>207</v>
      </c>
      <c r="I534" s="73">
        <v>1</v>
      </c>
      <c r="J534" s="74">
        <f>IF($D534="무료",0,IF($D534="메뉴",0,IF($D534="프렙",IFERROR(VLOOKUP($E534,'② 프렙 원가'!$B$6:$F$16,5,FALSE),0),IFERROR(VLOOKUP($E534,'① 식재료 단가'!$B$6:$G$123,6,FALSE),0))))</f>
      </c>
      <c r="K534" s="75">
        <f>IF($D534="메뉴",ROUND($G534*$J534,1),IF($I534&gt;0,ROUND($G534/$I534*$J534,1),0))</f>
      </c>
      <c r="L534" s="64" t="s">
        <v>66</v>
      </c>
    </row>
    <row r="535" spans="1:12" x14ac:dyDescent="0.25">
      <c r="A535" s="77" t="s">
        <v>84</v>
      </c>
      <c r="B535" s="36" t="s">
        <v>174</v>
      </c>
      <c r="C535" s="63">
        <v>10</v>
      </c>
      <c r="D535" s="78" t="s">
        <v>204</v>
      </c>
      <c r="E535" s="49" t="s">
        <v>238</v>
      </c>
      <c r="F535" s="77" t="s">
        <v>66</v>
      </c>
      <c r="G535" s="72">
        <v>20</v>
      </c>
      <c r="H535" s="63" t="s">
        <v>207</v>
      </c>
      <c r="I535" s="73">
        <v>1</v>
      </c>
      <c r="J535" s="74">
        <f>IF($D535="무료",0,IF($D535="메뉴",0,IF($D535="프렙",IFERROR(VLOOKUP($E535,'② 프렙 원가'!$B$6:$F$16,5,FALSE),0),IFERROR(VLOOKUP($E535,'① 식재료 단가'!$B$6:$G$123,6,FALSE),0))))</f>
      </c>
      <c r="K535" s="75">
        <f>IF($D535="메뉴",ROUND($G535*$J535,1),IF($I535&gt;0,ROUND($G535/$I535*$J535,1),0))</f>
      </c>
      <c r="L535" s="64" t="s">
        <v>66</v>
      </c>
    </row>
    <row r="536" spans="1:12" x14ac:dyDescent="0.25">
      <c r="A536" s="70" t="s">
        <v>85</v>
      </c>
      <c r="B536" s="31" t="s">
        <v>175</v>
      </c>
      <c r="C536" s="53">
        <v>1</v>
      </c>
      <c r="D536" s="71" t="s">
        <v>204</v>
      </c>
      <c r="E536" s="44" t="s">
        <v>359</v>
      </c>
      <c r="F536" s="70" t="s">
        <v>66</v>
      </c>
      <c r="G536" s="72">
        <v>50</v>
      </c>
      <c r="H536" s="53" t="s">
        <v>207</v>
      </c>
      <c r="I536" s="73">
        <v>1</v>
      </c>
      <c r="J536" s="74">
        <f>IF($D536="무료",0,IF($D536="메뉴",0,IF($D536="프렙",IFERROR(VLOOKUP($E536,'② 프렙 원가'!$B$6:$F$16,5,FALSE),0),IFERROR(VLOOKUP($E536,'① 식재료 단가'!$B$6:$G$123,6,FALSE),0))))</f>
      </c>
      <c r="K536" s="75">
        <f>IF($D536="메뉴",ROUND($G536*$J536,1),IF($I536&gt;0,ROUND($G536/$I536*$J536,1),0))</f>
      </c>
      <c r="L536" s="54" t="s">
        <v>271</v>
      </c>
    </row>
    <row r="537" spans="1:12" x14ac:dyDescent="0.25">
      <c r="A537" s="70" t="s">
        <v>85</v>
      </c>
      <c r="B537" s="31" t="s">
        <v>175</v>
      </c>
      <c r="C537" s="53">
        <v>2</v>
      </c>
      <c r="D537" s="71" t="s">
        <v>204</v>
      </c>
      <c r="E537" s="44" t="s">
        <v>346</v>
      </c>
      <c r="F537" s="70" t="s">
        <v>66</v>
      </c>
      <c r="G537" s="72">
        <v>50</v>
      </c>
      <c r="H537" s="53" t="s">
        <v>207</v>
      </c>
      <c r="I537" s="73">
        <v>1</v>
      </c>
      <c r="J537" s="74">
        <f>IF($D537="무료",0,IF($D537="메뉴",0,IF($D537="프렙",IFERROR(VLOOKUP($E537,'② 프렙 원가'!$B$6:$F$16,5,FALSE),0),IFERROR(VLOOKUP($E537,'① 식재료 단가'!$B$6:$G$123,6,FALSE),0))))</f>
      </c>
      <c r="K537" s="75">
        <f>IF($D537="메뉴",ROUND($G537*$J537,1),IF($I537&gt;0,ROUND($G537/$I537*$J537,1),0))</f>
      </c>
      <c r="L537" s="54" t="s">
        <v>428</v>
      </c>
    </row>
    <row r="538" spans="1:12" x14ac:dyDescent="0.25">
      <c r="A538" s="70" t="s">
        <v>85</v>
      </c>
      <c r="B538" s="31" t="s">
        <v>175</v>
      </c>
      <c r="C538" s="53">
        <v>3</v>
      </c>
      <c r="D538" s="71" t="s">
        <v>204</v>
      </c>
      <c r="E538" s="44" t="s">
        <v>241</v>
      </c>
      <c r="F538" s="70" t="s">
        <v>66</v>
      </c>
      <c r="G538" s="72">
        <v>30</v>
      </c>
      <c r="H538" s="53" t="s">
        <v>207</v>
      </c>
      <c r="I538" s="73">
        <v>1</v>
      </c>
      <c r="J538" s="74">
        <f>IF($D538="무료",0,IF($D538="메뉴",0,IF($D538="프렙",IFERROR(VLOOKUP($E538,'② 프렙 원가'!$B$6:$F$16,5,FALSE),0),IFERROR(VLOOKUP($E538,'① 식재료 단가'!$B$6:$G$123,6,FALSE),0))))</f>
      </c>
      <c r="K538" s="75">
        <f>IF($D538="메뉴",ROUND($G538*$J538,1),IF($I538&gt;0,ROUND($G538/$I538*$J538,1),0))</f>
      </c>
      <c r="L538" s="54" t="s">
        <v>272</v>
      </c>
    </row>
    <row r="539" spans="1:12" x14ac:dyDescent="0.25">
      <c r="A539" s="70" t="s">
        <v>85</v>
      </c>
      <c r="B539" s="31" t="s">
        <v>175</v>
      </c>
      <c r="C539" s="53">
        <v>4</v>
      </c>
      <c r="D539" s="71" t="s">
        <v>204</v>
      </c>
      <c r="E539" s="44" t="s">
        <v>334</v>
      </c>
      <c r="F539" s="70" t="s">
        <v>66</v>
      </c>
      <c r="G539" s="72">
        <v>10</v>
      </c>
      <c r="H539" s="53" t="s">
        <v>207</v>
      </c>
      <c r="I539" s="73">
        <v>1</v>
      </c>
      <c r="J539" s="74">
        <f>IF($D539="무료",0,IF($D539="메뉴",0,IF($D539="프렙",IFERROR(VLOOKUP($E539,'② 프렙 원가'!$B$6:$F$16,5,FALSE),0),IFERROR(VLOOKUP($E539,'① 식재료 단가'!$B$6:$G$123,6,FALSE),0))))</f>
      </c>
      <c r="K539" s="75">
        <f>IF($D539="메뉴",ROUND($G539*$J539,1),IF($I539&gt;0,ROUND($G539/$I539*$J539,1),0))</f>
      </c>
      <c r="L539" s="54" t="s">
        <v>271</v>
      </c>
    </row>
    <row r="540" spans="1:12" x14ac:dyDescent="0.25">
      <c r="A540" s="70" t="s">
        <v>85</v>
      </c>
      <c r="B540" s="31" t="s">
        <v>175</v>
      </c>
      <c r="C540" s="53">
        <v>5</v>
      </c>
      <c r="D540" s="71" t="s">
        <v>204</v>
      </c>
      <c r="E540" s="44" t="s">
        <v>429</v>
      </c>
      <c r="F540" s="70" t="s">
        <v>66</v>
      </c>
      <c r="G540" s="72">
        <v>50</v>
      </c>
      <c r="H540" s="53" t="s">
        <v>207</v>
      </c>
      <c r="I540" s="73">
        <v>1</v>
      </c>
      <c r="J540" s="74">
        <f>IF($D540="무료",0,IF($D540="메뉴",0,IF($D540="프렙",IFERROR(VLOOKUP($E540,'② 프렙 원가'!$B$6:$F$16,5,FALSE),0),IFERROR(VLOOKUP($E540,'① 식재료 단가'!$B$6:$G$123,6,FALSE),0))))</f>
      </c>
      <c r="K540" s="75">
        <f>IF($D540="메뉴",ROUND($G540*$J540,1),IF($I540&gt;0,ROUND($G540/$I540*$J540,1),0))</f>
      </c>
      <c r="L540" s="54" t="s">
        <v>66</v>
      </c>
    </row>
    <row r="541" spans="1:12" x14ac:dyDescent="0.25">
      <c r="A541" s="77" t="s">
        <v>85</v>
      </c>
      <c r="B541" s="36" t="s">
        <v>176</v>
      </c>
      <c r="C541" s="63">
        <v>1</v>
      </c>
      <c r="D541" s="78" t="s">
        <v>204</v>
      </c>
      <c r="E541" s="49" t="s">
        <v>346</v>
      </c>
      <c r="F541" s="77" t="s">
        <v>430</v>
      </c>
      <c r="G541" s="72">
        <v>50</v>
      </c>
      <c r="H541" s="63" t="s">
        <v>207</v>
      </c>
      <c r="I541" s="73">
        <v>1</v>
      </c>
      <c r="J541" s="74">
        <f>IF($D541="무료",0,IF($D541="메뉴",0,IF($D541="프렙",IFERROR(VLOOKUP($E541,'② 프렙 원가'!$B$6:$F$16,5,FALSE),0),IFERROR(VLOOKUP($E541,'① 식재료 단가'!$B$6:$G$123,6,FALSE),0))))</f>
      </c>
      <c r="K541" s="75">
        <f>IF($D541="메뉴",ROUND($G541*$J541,1),IF($I541&gt;0,ROUND($G541/$I541*$J541,1),0))</f>
      </c>
      <c r="L541" s="64" t="s">
        <v>428</v>
      </c>
    </row>
    <row r="542" spans="1:12" x14ac:dyDescent="0.25">
      <c r="A542" s="77" t="s">
        <v>85</v>
      </c>
      <c r="B542" s="36" t="s">
        <v>176</v>
      </c>
      <c r="C542" s="63">
        <v>2</v>
      </c>
      <c r="D542" s="78" t="s">
        <v>204</v>
      </c>
      <c r="E542" s="49" t="s">
        <v>241</v>
      </c>
      <c r="F542" s="77" t="s">
        <v>431</v>
      </c>
      <c r="G542" s="72">
        <v>30</v>
      </c>
      <c r="H542" s="63" t="s">
        <v>207</v>
      </c>
      <c r="I542" s="73">
        <v>1</v>
      </c>
      <c r="J542" s="74">
        <f>IF($D542="무료",0,IF($D542="메뉴",0,IF($D542="프렙",IFERROR(VLOOKUP($E542,'② 프렙 원가'!$B$6:$F$16,5,FALSE),0),IFERROR(VLOOKUP($E542,'① 식재료 단가'!$B$6:$G$123,6,FALSE),0))))</f>
      </c>
      <c r="K542" s="75">
        <f>IF($D542="메뉴",ROUND($G542*$J542,1),IF($I542&gt;0,ROUND($G542/$I542*$J542,1),0))</f>
      </c>
      <c r="L542" s="64" t="s">
        <v>432</v>
      </c>
    </row>
    <row r="543" spans="1:12" x14ac:dyDescent="0.25">
      <c r="A543" s="77" t="s">
        <v>85</v>
      </c>
      <c r="B543" s="36" t="s">
        <v>176</v>
      </c>
      <c r="C543" s="63">
        <v>3</v>
      </c>
      <c r="D543" s="78" t="s">
        <v>204</v>
      </c>
      <c r="E543" s="49" t="s">
        <v>433</v>
      </c>
      <c r="F543" s="77" t="s">
        <v>434</v>
      </c>
      <c r="G543" s="72">
        <v>20</v>
      </c>
      <c r="H543" s="63" t="s">
        <v>207</v>
      </c>
      <c r="I543" s="73">
        <v>1</v>
      </c>
      <c r="J543" s="74">
        <f>IF($D543="무료",0,IF($D543="메뉴",0,IF($D543="프렙",IFERROR(VLOOKUP($E543,'② 프렙 원가'!$B$6:$F$16,5,FALSE),0),IFERROR(VLOOKUP($E543,'① 식재료 단가'!$B$6:$G$123,6,FALSE),0))))</f>
      </c>
      <c r="K543" s="75">
        <f>IF($D543="메뉴",ROUND($G543*$J543,1),IF($I543&gt;0,ROUND($G543/$I543*$J543,1),0))</f>
      </c>
      <c r="L543" s="64" t="s">
        <v>66</v>
      </c>
    </row>
    <row r="544" spans="1:12" x14ac:dyDescent="0.25">
      <c r="A544" s="77" t="s">
        <v>85</v>
      </c>
      <c r="B544" s="36" t="s">
        <v>176</v>
      </c>
      <c r="C544" s="63">
        <v>4</v>
      </c>
      <c r="D544" s="78" t="s">
        <v>204</v>
      </c>
      <c r="E544" s="49" t="s">
        <v>231</v>
      </c>
      <c r="F544" s="77" t="s">
        <v>66</v>
      </c>
      <c r="G544" s="72">
        <v>10</v>
      </c>
      <c r="H544" s="63" t="s">
        <v>207</v>
      </c>
      <c r="I544" s="73">
        <v>1</v>
      </c>
      <c r="J544" s="74">
        <f>IF($D544="무료",0,IF($D544="메뉴",0,IF($D544="프렙",IFERROR(VLOOKUP($E544,'② 프렙 원가'!$B$6:$F$16,5,FALSE),0),IFERROR(VLOOKUP($E544,'① 식재료 단가'!$B$6:$G$123,6,FALSE),0))))</f>
      </c>
      <c r="K544" s="75">
        <f>IF($D544="메뉴",ROUND($G544*$J544,1),IF($I544&gt;0,ROUND($G544/$I544*$J544,1),0))</f>
      </c>
      <c r="L544" s="64" t="s">
        <v>66</v>
      </c>
    </row>
    <row r="545" spans="1:12" x14ac:dyDescent="0.25">
      <c r="A545" s="77" t="s">
        <v>85</v>
      </c>
      <c r="B545" s="36" t="s">
        <v>176</v>
      </c>
      <c r="C545" s="63">
        <v>5</v>
      </c>
      <c r="D545" s="78" t="s">
        <v>204</v>
      </c>
      <c r="E545" s="49" t="s">
        <v>270</v>
      </c>
      <c r="F545" s="77" t="s">
        <v>435</v>
      </c>
      <c r="G545" s="72">
        <v>20</v>
      </c>
      <c r="H545" s="63" t="s">
        <v>207</v>
      </c>
      <c r="I545" s="73">
        <v>1</v>
      </c>
      <c r="J545" s="74">
        <f>IF($D545="무료",0,IF($D545="메뉴",0,IF($D545="프렙",IFERROR(VLOOKUP($E545,'② 프렙 원가'!$B$6:$F$16,5,FALSE),0),IFERROR(VLOOKUP($E545,'① 식재료 단가'!$B$6:$G$123,6,FALSE),0))))</f>
      </c>
      <c r="K545" s="75">
        <f>IF($D545="메뉴",ROUND($G545*$J545,1),IF($I545&gt;0,ROUND($G545/$I545*$J545,1),0))</f>
      </c>
      <c r="L545" s="64" t="s">
        <v>230</v>
      </c>
    </row>
    <row r="546" spans="1:12" x14ac:dyDescent="0.25">
      <c r="A546" s="77" t="s">
        <v>85</v>
      </c>
      <c r="B546" s="36" t="s">
        <v>176</v>
      </c>
      <c r="C546" s="63">
        <v>6</v>
      </c>
      <c r="D546" s="78" t="s">
        <v>204</v>
      </c>
      <c r="E546" s="49" t="s">
        <v>429</v>
      </c>
      <c r="F546" s="77" t="s">
        <v>66</v>
      </c>
      <c r="G546" s="72">
        <v>30</v>
      </c>
      <c r="H546" s="63" t="s">
        <v>207</v>
      </c>
      <c r="I546" s="73">
        <v>1</v>
      </c>
      <c r="J546" s="74">
        <f>IF($D546="무료",0,IF($D546="메뉴",0,IF($D546="프렙",IFERROR(VLOOKUP($E546,'② 프렙 원가'!$B$6:$F$16,5,FALSE),0),IFERROR(VLOOKUP($E546,'① 식재료 단가'!$B$6:$G$123,6,FALSE),0))))</f>
      </c>
      <c r="K546" s="75">
        <f>IF($D546="메뉴",ROUND($G546*$J546,1),IF($I546&gt;0,ROUND($G546/$I546*$J546,1),0))</f>
      </c>
      <c r="L546" s="64" t="s">
        <v>66</v>
      </c>
    </row>
    <row r="547" spans="1:12" x14ac:dyDescent="0.25">
      <c r="A547" s="77" t="s">
        <v>85</v>
      </c>
      <c r="B547" s="36" t="s">
        <v>176</v>
      </c>
      <c r="C547" s="63">
        <v>7</v>
      </c>
      <c r="D547" s="78" t="s">
        <v>204</v>
      </c>
      <c r="E547" s="49" t="s">
        <v>361</v>
      </c>
      <c r="F547" s="77" t="s">
        <v>436</v>
      </c>
      <c r="G547" s="72">
        <v>20</v>
      </c>
      <c r="H547" s="63" t="s">
        <v>207</v>
      </c>
      <c r="I547" s="73">
        <v>1</v>
      </c>
      <c r="J547" s="74">
        <f>IF($D547="무료",0,IF($D547="메뉴",0,IF($D547="프렙",IFERROR(VLOOKUP($E547,'② 프렙 원가'!$B$6:$F$16,5,FALSE),0),IFERROR(VLOOKUP($E547,'① 식재료 단가'!$B$6:$G$123,6,FALSE),0))))</f>
      </c>
      <c r="K547" s="75">
        <f>IF($D547="메뉴",ROUND($G547*$J547,1),IF($I547&gt;0,ROUND($G547/$I547*$J547,1),0))</f>
      </c>
      <c r="L547" s="64" t="s">
        <v>437</v>
      </c>
    </row>
    <row r="548" spans="1:12" x14ac:dyDescent="0.25">
      <c r="A548" s="70" t="s">
        <v>85</v>
      </c>
      <c r="B548" s="31" t="s">
        <v>177</v>
      </c>
      <c r="C548" s="53">
        <v>1</v>
      </c>
      <c r="D548" s="71" t="s">
        <v>204</v>
      </c>
      <c r="E548" s="44" t="s">
        <v>338</v>
      </c>
      <c r="F548" s="70" t="s">
        <v>339</v>
      </c>
      <c r="G548" s="72">
        <v>150</v>
      </c>
      <c r="H548" s="53" t="s">
        <v>207</v>
      </c>
      <c r="I548" s="73">
        <v>1</v>
      </c>
      <c r="J548" s="74">
        <f>IF($D548="무료",0,IF($D548="메뉴",0,IF($D548="프렙",IFERROR(VLOOKUP($E548,'② 프렙 원가'!$B$6:$F$16,5,FALSE),0),IFERROR(VLOOKUP($E548,'① 식재료 단가'!$B$6:$G$123,6,FALSE),0))))</f>
      </c>
      <c r="K548" s="75">
        <f>IF($D548="메뉴",ROUND($G548*$J548,1),IF($I548&gt;0,ROUND($G548/$I548*$J548,1),0))</f>
      </c>
      <c r="L548" s="54" t="s">
        <v>438</v>
      </c>
    </row>
    <row r="549" spans="1:12" x14ac:dyDescent="0.25">
      <c r="A549" s="70" t="s">
        <v>85</v>
      </c>
      <c r="B549" s="31" t="s">
        <v>177</v>
      </c>
      <c r="C549" s="53">
        <v>2</v>
      </c>
      <c r="D549" s="71" t="s">
        <v>204</v>
      </c>
      <c r="E549" s="44" t="s">
        <v>346</v>
      </c>
      <c r="F549" s="70" t="s">
        <v>66</v>
      </c>
      <c r="G549" s="72">
        <v>40</v>
      </c>
      <c r="H549" s="53" t="s">
        <v>207</v>
      </c>
      <c r="I549" s="73">
        <v>1</v>
      </c>
      <c r="J549" s="74">
        <f>IF($D549="무료",0,IF($D549="메뉴",0,IF($D549="프렙",IFERROR(VLOOKUP($E549,'② 프렙 원가'!$B$6:$F$16,5,FALSE),0),IFERROR(VLOOKUP($E549,'① 식재료 단가'!$B$6:$G$123,6,FALSE),0))))</f>
      </c>
      <c r="K549" s="75">
        <f>IF($D549="메뉴",ROUND($G549*$J549,1),IF($I549&gt;0,ROUND($G549/$I549*$J549,1),0))</f>
      </c>
      <c r="L549" s="54" t="s">
        <v>428</v>
      </c>
    </row>
    <row r="550" spans="1:12" x14ac:dyDescent="0.25">
      <c r="A550" s="70" t="s">
        <v>85</v>
      </c>
      <c r="B550" s="31" t="s">
        <v>177</v>
      </c>
      <c r="C550" s="53">
        <v>3</v>
      </c>
      <c r="D550" s="71" t="s">
        <v>204</v>
      </c>
      <c r="E550" s="44" t="s">
        <v>359</v>
      </c>
      <c r="F550" s="70" t="s">
        <v>66</v>
      </c>
      <c r="G550" s="72">
        <v>40</v>
      </c>
      <c r="H550" s="53" t="s">
        <v>207</v>
      </c>
      <c r="I550" s="73">
        <v>1</v>
      </c>
      <c r="J550" s="74">
        <f>IF($D550="무료",0,IF($D550="메뉴",0,IF($D550="프렙",IFERROR(VLOOKUP($E550,'② 프렙 원가'!$B$6:$F$16,5,FALSE),0),IFERROR(VLOOKUP($E550,'① 식재료 단가'!$B$6:$G$123,6,FALSE),0))))</f>
      </c>
      <c r="K550" s="75">
        <f>IF($D550="메뉴",ROUND($G550*$J550,1),IF($I550&gt;0,ROUND($G550/$I550*$J550,1),0))</f>
      </c>
      <c r="L550" s="54" t="s">
        <v>271</v>
      </c>
    </row>
    <row r="551" spans="1:12" x14ac:dyDescent="0.25">
      <c r="A551" s="70" t="s">
        <v>85</v>
      </c>
      <c r="B551" s="31" t="s">
        <v>177</v>
      </c>
      <c r="C551" s="53">
        <v>4</v>
      </c>
      <c r="D551" s="71" t="s">
        <v>204</v>
      </c>
      <c r="E551" s="44" t="s">
        <v>241</v>
      </c>
      <c r="F551" s="70" t="s">
        <v>66</v>
      </c>
      <c r="G551" s="72">
        <v>20</v>
      </c>
      <c r="H551" s="53" t="s">
        <v>207</v>
      </c>
      <c r="I551" s="73">
        <v>1</v>
      </c>
      <c r="J551" s="74">
        <f>IF($D551="무료",0,IF($D551="메뉴",0,IF($D551="프렙",IFERROR(VLOOKUP($E551,'② 프렙 원가'!$B$6:$F$16,5,FALSE),0),IFERROR(VLOOKUP($E551,'① 식재료 단가'!$B$6:$G$123,6,FALSE),0))))</f>
      </c>
      <c r="K551" s="75">
        <f>IF($D551="메뉴",ROUND($G551*$J551,1),IF($I551&gt;0,ROUND($G551/$I551*$J551,1),0))</f>
      </c>
      <c r="L551" s="54" t="s">
        <v>272</v>
      </c>
    </row>
    <row r="552" spans="1:12" x14ac:dyDescent="0.25">
      <c r="A552" s="70" t="s">
        <v>85</v>
      </c>
      <c r="B552" s="31" t="s">
        <v>177</v>
      </c>
      <c r="C552" s="53">
        <v>5</v>
      </c>
      <c r="D552" s="71" t="s">
        <v>204</v>
      </c>
      <c r="E552" s="44" t="s">
        <v>433</v>
      </c>
      <c r="F552" s="70" t="s">
        <v>434</v>
      </c>
      <c r="G552" s="72">
        <v>20</v>
      </c>
      <c r="H552" s="53" t="s">
        <v>207</v>
      </c>
      <c r="I552" s="73">
        <v>1</v>
      </c>
      <c r="J552" s="74">
        <f>IF($D552="무료",0,IF($D552="메뉴",0,IF($D552="프렙",IFERROR(VLOOKUP($E552,'② 프렙 원가'!$B$6:$F$16,5,FALSE),0),IFERROR(VLOOKUP($E552,'① 식재료 단가'!$B$6:$G$123,6,FALSE),0))))</f>
      </c>
      <c r="K552" s="75">
        <f>IF($D552="메뉴",ROUND($G552*$J552,1),IF($I552&gt;0,ROUND($G552/$I552*$J552,1),0))</f>
      </c>
      <c r="L552" s="54" t="s">
        <v>66</v>
      </c>
    </row>
    <row r="553" spans="1:12" x14ac:dyDescent="0.25">
      <c r="A553" s="70" t="s">
        <v>85</v>
      </c>
      <c r="B553" s="31" t="s">
        <v>177</v>
      </c>
      <c r="C553" s="53">
        <v>6</v>
      </c>
      <c r="D553" s="71" t="s">
        <v>204</v>
      </c>
      <c r="E553" s="44" t="s">
        <v>439</v>
      </c>
      <c r="F553" s="70" t="s">
        <v>66</v>
      </c>
      <c r="G553" s="72">
        <v>10</v>
      </c>
      <c r="H553" s="53" t="s">
        <v>207</v>
      </c>
      <c r="I553" s="73">
        <v>1</v>
      </c>
      <c r="J553" s="74">
        <f>IF($D553="무료",0,IF($D553="메뉴",0,IF($D553="프렙",IFERROR(VLOOKUP($E553,'② 프렙 원가'!$B$6:$F$16,5,FALSE),0),IFERROR(VLOOKUP($E553,'① 식재료 단가'!$B$6:$G$123,6,FALSE),0))))</f>
      </c>
      <c r="K553" s="75">
        <f>IF($D553="메뉴",ROUND($G553*$J553,1),IF($I553&gt;0,ROUND($G553/$I553*$J553,1),0))</f>
      </c>
      <c r="L553" s="54" t="s">
        <v>66</v>
      </c>
    </row>
    <row r="554" spans="1:12" x14ac:dyDescent="0.25">
      <c r="A554" s="70" t="s">
        <v>85</v>
      </c>
      <c r="B554" s="31" t="s">
        <v>177</v>
      </c>
      <c r="C554" s="53">
        <v>7</v>
      </c>
      <c r="D554" s="71" t="s">
        <v>204</v>
      </c>
      <c r="E554" s="44" t="s">
        <v>231</v>
      </c>
      <c r="F554" s="70" t="s">
        <v>66</v>
      </c>
      <c r="G554" s="72">
        <v>5</v>
      </c>
      <c r="H554" s="53" t="s">
        <v>207</v>
      </c>
      <c r="I554" s="73">
        <v>1</v>
      </c>
      <c r="J554" s="74">
        <f>IF($D554="무료",0,IF($D554="메뉴",0,IF($D554="프렙",IFERROR(VLOOKUP($E554,'② 프렙 원가'!$B$6:$F$16,5,FALSE),0),IFERROR(VLOOKUP($E554,'① 식재료 단가'!$B$6:$G$123,6,FALSE),0))))</f>
      </c>
      <c r="K554" s="75">
        <f>IF($D554="메뉴",ROUND($G554*$J554,1),IF($I554&gt;0,ROUND($G554/$I554*$J554,1),0))</f>
      </c>
      <c r="L554" s="54" t="s">
        <v>66</v>
      </c>
    </row>
    <row r="555" spans="1:12" x14ac:dyDescent="0.25">
      <c r="A555" s="70" t="s">
        <v>85</v>
      </c>
      <c r="B555" s="31" t="s">
        <v>177</v>
      </c>
      <c r="C555" s="53">
        <v>8</v>
      </c>
      <c r="D555" s="71" t="s">
        <v>204</v>
      </c>
      <c r="E555" s="44" t="s">
        <v>429</v>
      </c>
      <c r="F555" s="70" t="s">
        <v>66</v>
      </c>
      <c r="G555" s="72">
        <v>20</v>
      </c>
      <c r="H555" s="53" t="s">
        <v>207</v>
      </c>
      <c r="I555" s="73">
        <v>1</v>
      </c>
      <c r="J555" s="74">
        <f>IF($D555="무료",0,IF($D555="메뉴",0,IF($D555="프렙",IFERROR(VLOOKUP($E555,'② 프렙 원가'!$B$6:$F$16,5,FALSE),0),IFERROR(VLOOKUP($E555,'① 식재료 단가'!$B$6:$G$123,6,FALSE),0))))</f>
      </c>
      <c r="K555" s="75">
        <f>IF($D555="메뉴",ROUND($G555*$J555,1),IF($I555&gt;0,ROUND($G555/$I555*$J555,1),0))</f>
      </c>
      <c r="L555" s="54" t="s">
        <v>66</v>
      </c>
    </row>
    <row r="556" spans="1:12" x14ac:dyDescent="0.25">
      <c r="A556" s="70" t="s">
        <v>85</v>
      </c>
      <c r="B556" s="31" t="s">
        <v>177</v>
      </c>
      <c r="C556" s="53">
        <v>9</v>
      </c>
      <c r="D556" s="71" t="s">
        <v>204</v>
      </c>
      <c r="E556" s="44" t="s">
        <v>343</v>
      </c>
      <c r="F556" s="70" t="s">
        <v>344</v>
      </c>
      <c r="G556" s="72">
        <v>5</v>
      </c>
      <c r="H556" s="53" t="s">
        <v>207</v>
      </c>
      <c r="I556" s="73">
        <v>1</v>
      </c>
      <c r="J556" s="74">
        <f>IF($D556="무료",0,IF($D556="메뉴",0,IF($D556="프렙",IFERROR(VLOOKUP($E556,'② 프렙 원가'!$B$6:$F$16,5,FALSE),0),IFERROR(VLOOKUP($E556,'① 식재료 단가'!$B$6:$G$123,6,FALSE),0))))</f>
      </c>
      <c r="K556" s="75">
        <f>IF($D556="메뉴",ROUND($G556*$J556,1),IF($I556&gt;0,ROUND($G556/$I556*$J556,1),0))</f>
      </c>
      <c r="L556" s="54" t="s">
        <v>66</v>
      </c>
    </row>
    <row r="557" spans="1:12" x14ac:dyDescent="0.25">
      <c r="A557" s="70" t="s">
        <v>85</v>
      </c>
      <c r="B557" s="31" t="s">
        <v>177</v>
      </c>
      <c r="C557" s="53">
        <v>10</v>
      </c>
      <c r="D557" s="71" t="s">
        <v>204</v>
      </c>
      <c r="E557" s="44" t="s">
        <v>327</v>
      </c>
      <c r="F557" s="70" t="s">
        <v>66</v>
      </c>
      <c r="G557" s="72">
        <v>5</v>
      </c>
      <c r="H557" s="53" t="s">
        <v>207</v>
      </c>
      <c r="I557" s="73">
        <v>1</v>
      </c>
      <c r="J557" s="74">
        <f>IF($D557="무료",0,IF($D557="메뉴",0,IF($D557="프렙",IFERROR(VLOOKUP($E557,'② 프렙 원가'!$B$6:$F$16,5,FALSE),0),IFERROR(VLOOKUP($E557,'① 식재료 단가'!$B$6:$G$123,6,FALSE),0))))</f>
      </c>
      <c r="K557" s="75">
        <f>IF($D557="메뉴",ROUND($G557*$J557,1),IF($I557&gt;0,ROUND($G557/$I557*$J557,1),0))</f>
      </c>
      <c r="L557" s="54" t="s">
        <v>66</v>
      </c>
    </row>
    <row r="558" spans="1:12" x14ac:dyDescent="0.25">
      <c r="A558" s="70" t="s">
        <v>85</v>
      </c>
      <c r="B558" s="31" t="s">
        <v>177</v>
      </c>
      <c r="C558" s="53">
        <v>11</v>
      </c>
      <c r="D558" s="71" t="s">
        <v>204</v>
      </c>
      <c r="E558" s="44" t="s">
        <v>215</v>
      </c>
      <c r="F558" s="70" t="s">
        <v>66</v>
      </c>
      <c r="G558" s="72">
        <v>20</v>
      </c>
      <c r="H558" s="53" t="s">
        <v>207</v>
      </c>
      <c r="I558" s="73">
        <v>1</v>
      </c>
      <c r="J558" s="74">
        <f>IF($D558="무료",0,IF($D558="메뉴",0,IF($D558="프렙",IFERROR(VLOOKUP($E558,'② 프렙 원가'!$B$6:$F$16,5,FALSE),0),IFERROR(VLOOKUP($E558,'① 식재료 단가'!$B$6:$G$123,6,FALSE),0))))</f>
      </c>
      <c r="K558" s="75">
        <f>IF($D558="메뉴",ROUND($G558*$J558,1),IF($I558&gt;0,ROUND($G558/$I558*$J558,1),0))</f>
      </c>
      <c r="L558" s="54" t="s">
        <v>261</v>
      </c>
    </row>
    <row r="559" spans="1:12" x14ac:dyDescent="0.25">
      <c r="A559" s="70" t="s">
        <v>85</v>
      </c>
      <c r="B559" s="31" t="s">
        <v>177</v>
      </c>
      <c r="C559" s="53">
        <v>12</v>
      </c>
      <c r="D559" s="71" t="s">
        <v>204</v>
      </c>
      <c r="E559" s="44" t="s">
        <v>440</v>
      </c>
      <c r="F559" s="70" t="s">
        <v>66</v>
      </c>
      <c r="G559" s="72">
        <v>5</v>
      </c>
      <c r="H559" s="53" t="s">
        <v>207</v>
      </c>
      <c r="I559" s="73">
        <v>1</v>
      </c>
      <c r="J559" s="74">
        <f>IF($D559="무료",0,IF($D559="메뉴",0,IF($D559="프렙",IFERROR(VLOOKUP($E559,'② 프렙 원가'!$B$6:$F$16,5,FALSE),0),IFERROR(VLOOKUP($E559,'① 식재료 단가'!$B$6:$G$123,6,FALSE),0))))</f>
      </c>
      <c r="K559" s="75">
        <f>IF($D559="메뉴",ROUND($G559*$J559,1),IF($I559&gt;0,ROUND($G559/$I559*$J559,1),0))</f>
      </c>
      <c r="L559" s="54" t="s">
        <v>332</v>
      </c>
    </row>
    <row r="560" spans="1:12" x14ac:dyDescent="0.25">
      <c r="A560" s="70" t="s">
        <v>85</v>
      </c>
      <c r="B560" s="31" t="s">
        <v>177</v>
      </c>
      <c r="C560" s="53">
        <v>13</v>
      </c>
      <c r="D560" s="71" t="s">
        <v>204</v>
      </c>
      <c r="E560" s="44" t="s">
        <v>356</v>
      </c>
      <c r="F560" s="70" t="s">
        <v>66</v>
      </c>
      <c r="G560" s="72">
        <v>10</v>
      </c>
      <c r="H560" s="53" t="s">
        <v>207</v>
      </c>
      <c r="I560" s="73">
        <v>1</v>
      </c>
      <c r="J560" s="74">
        <f>IF($D560="무료",0,IF($D560="메뉴",0,IF($D560="프렙",IFERROR(VLOOKUP($E560,'② 프렙 원가'!$B$6:$F$16,5,FALSE),0),IFERROR(VLOOKUP($E560,'① 식재료 단가'!$B$6:$G$123,6,FALSE),0))))</f>
      </c>
      <c r="K560" s="75">
        <f>IF($D560="메뉴",ROUND($G560*$J560,1),IF($I560&gt;0,ROUND($G560/$I560*$J560,1),0))</f>
      </c>
      <c r="L560" s="54" t="s">
        <v>66</v>
      </c>
    </row>
    <row r="561" spans="1:12" x14ac:dyDescent="0.25">
      <c r="A561" s="77" t="s">
        <v>86</v>
      </c>
      <c r="B561" s="36" t="s">
        <v>178</v>
      </c>
      <c r="C561" s="63">
        <v>1</v>
      </c>
      <c r="D561" s="78" t="s">
        <v>204</v>
      </c>
      <c r="E561" s="49" t="s">
        <v>441</v>
      </c>
      <c r="F561" s="77" t="s">
        <v>66</v>
      </c>
      <c r="G561" s="72">
        <v>50</v>
      </c>
      <c r="H561" s="63" t="s">
        <v>207</v>
      </c>
      <c r="I561" s="73">
        <v>1</v>
      </c>
      <c r="J561" s="74">
        <f>IF($D561="무료",0,IF($D561="메뉴",0,IF($D561="프렙",IFERROR(VLOOKUP($E561,'② 프렙 원가'!$B$6:$F$16,5,FALSE),0),IFERROR(VLOOKUP($E561,'① 식재료 단가'!$B$6:$G$123,6,FALSE),0))))</f>
      </c>
      <c r="K561" s="75">
        <f>IF($D561="메뉴",ROUND($G561*$J561,1),IF($I561&gt;0,ROUND($G561/$I561*$J561,1),0))</f>
      </c>
      <c r="L561" s="64" t="s">
        <v>442</v>
      </c>
    </row>
    <row r="562" spans="1:12" x14ac:dyDescent="0.25">
      <c r="A562" s="77" t="s">
        <v>86</v>
      </c>
      <c r="B562" s="36" t="s">
        <v>178</v>
      </c>
      <c r="C562" s="63">
        <v>2</v>
      </c>
      <c r="D562" s="79" t="s">
        <v>209</v>
      </c>
      <c r="E562" s="49" t="s">
        <v>407</v>
      </c>
      <c r="F562" s="77" t="s">
        <v>443</v>
      </c>
      <c r="G562" s="72">
        <v>170</v>
      </c>
      <c r="H562" s="63" t="s">
        <v>207</v>
      </c>
      <c r="I562" s="73">
        <v>1</v>
      </c>
      <c r="J562" s="74">
        <f>IF($D562="무료",0,IF($D562="메뉴",0,IF($D562="프렙",IFERROR(VLOOKUP($E562,'② 프렙 원가'!$B$6:$F$16,5,FALSE),0),IFERROR(VLOOKUP($E562,'① 식재료 단가'!$B$6:$G$123,6,FALSE),0))))</f>
      </c>
      <c r="K562" s="75">
        <f>IF($D562="메뉴",ROUND($G562*$J562,1),IF($I562&gt;0,ROUND($G562/$I562*$J562,1),0))</f>
      </c>
      <c r="L562" s="64" t="s">
        <v>332</v>
      </c>
    </row>
    <row r="563" spans="1:12" x14ac:dyDescent="0.25">
      <c r="A563" s="70" t="s">
        <v>86</v>
      </c>
      <c r="B563" s="31" t="s">
        <v>179</v>
      </c>
      <c r="C563" s="53">
        <v>1</v>
      </c>
      <c r="D563" s="76" t="s">
        <v>209</v>
      </c>
      <c r="E563" s="44" t="s">
        <v>407</v>
      </c>
      <c r="F563" s="70" t="s">
        <v>443</v>
      </c>
      <c r="G563" s="72">
        <v>340</v>
      </c>
      <c r="H563" s="53" t="s">
        <v>207</v>
      </c>
      <c r="I563" s="73">
        <v>1</v>
      </c>
      <c r="J563" s="74">
        <f>IF($D563="무료",0,IF($D563="메뉴",0,IF($D563="프렙",IFERROR(VLOOKUP($E563,'② 프렙 원가'!$B$6:$F$16,5,FALSE),0),IFERROR(VLOOKUP($E563,'① 식재료 단가'!$B$6:$G$123,6,FALSE),0))))</f>
      </c>
      <c r="K563" s="75">
        <f>IF($D563="메뉴",ROUND($G563*$J563,1),IF($I563&gt;0,ROUND($G563/$I563*$J563,1),0))</f>
      </c>
      <c r="L563" s="54" t="s">
        <v>66</v>
      </c>
    </row>
    <row r="564" spans="1:12" x14ac:dyDescent="0.25">
      <c r="A564" s="77" t="s">
        <v>86</v>
      </c>
      <c r="B564" s="36" t="s">
        <v>180</v>
      </c>
      <c r="C564" s="63">
        <v>1</v>
      </c>
      <c r="D564" s="78" t="s">
        <v>204</v>
      </c>
      <c r="E564" s="49" t="s">
        <v>444</v>
      </c>
      <c r="F564" s="77" t="s">
        <v>66</v>
      </c>
      <c r="G564" s="72">
        <v>50</v>
      </c>
      <c r="H564" s="63" t="s">
        <v>207</v>
      </c>
      <c r="I564" s="73">
        <v>1</v>
      </c>
      <c r="J564" s="74">
        <f>IF($D564="무료",0,IF($D564="메뉴",0,IF($D564="프렙",IFERROR(VLOOKUP($E564,'② 프렙 원가'!$B$6:$F$16,5,FALSE),0),IFERROR(VLOOKUP($E564,'① 식재료 단가'!$B$6:$G$123,6,FALSE),0))))</f>
      </c>
      <c r="K564" s="75">
        <f>IF($D564="메뉴",ROUND($G564*$J564,1),IF($I564&gt;0,ROUND($G564/$I564*$J564,1),0))</f>
      </c>
      <c r="L564" s="64" t="s">
        <v>442</v>
      </c>
    </row>
    <row r="565" spans="1:12" x14ac:dyDescent="0.25">
      <c r="A565" s="77" t="s">
        <v>86</v>
      </c>
      <c r="B565" s="36" t="s">
        <v>180</v>
      </c>
      <c r="C565" s="63">
        <v>2</v>
      </c>
      <c r="D565" s="79" t="s">
        <v>209</v>
      </c>
      <c r="E565" s="49" t="s">
        <v>407</v>
      </c>
      <c r="F565" s="77" t="s">
        <v>443</v>
      </c>
      <c r="G565" s="72">
        <v>170</v>
      </c>
      <c r="H565" s="63" t="s">
        <v>207</v>
      </c>
      <c r="I565" s="73">
        <v>1</v>
      </c>
      <c r="J565" s="74">
        <f>IF($D565="무료",0,IF($D565="메뉴",0,IF($D565="프렙",IFERROR(VLOOKUP($E565,'② 프렙 원가'!$B$6:$F$16,5,FALSE),0),IFERROR(VLOOKUP($E565,'① 식재료 단가'!$B$6:$G$123,6,FALSE),0))))</f>
      </c>
      <c r="K565" s="75">
        <f>IF($D565="메뉴",ROUND($G565*$J565,1),IF($I565&gt;0,ROUND($G565/$I565*$J565,1),0))</f>
      </c>
      <c r="L565" s="64" t="s">
        <v>332</v>
      </c>
    </row>
    <row r="566" spans="1:12" x14ac:dyDescent="0.25">
      <c r="A566" s="70" t="s">
        <v>86</v>
      </c>
      <c r="B566" s="31" t="s">
        <v>181</v>
      </c>
      <c r="C566" s="53">
        <v>1</v>
      </c>
      <c r="D566" s="76" t="s">
        <v>209</v>
      </c>
      <c r="E566" s="44" t="s">
        <v>407</v>
      </c>
      <c r="F566" s="70" t="s">
        <v>445</v>
      </c>
      <c r="G566" s="72">
        <v>200</v>
      </c>
      <c r="H566" s="53" t="s">
        <v>207</v>
      </c>
      <c r="I566" s="73">
        <v>1</v>
      </c>
      <c r="J566" s="74">
        <f>IF($D566="무료",0,IF($D566="메뉴",0,IF($D566="프렙",IFERROR(VLOOKUP($E566,'② 프렙 원가'!$B$6:$F$16,5,FALSE),0),IFERROR(VLOOKUP($E566,'① 식재료 단가'!$B$6:$G$123,6,FALSE),0))))</f>
      </c>
      <c r="K566" s="75">
        <f>IF($D566="메뉴",ROUND($G566*$J566,1),IF($I566&gt;0,ROUND($G566/$I566*$J566,1),0))</f>
      </c>
      <c r="L566" s="54" t="s">
        <v>66</v>
      </c>
    </row>
    <row r="567" spans="1:12" x14ac:dyDescent="0.25">
      <c r="A567" s="70" t="s">
        <v>86</v>
      </c>
      <c r="B567" s="31" t="s">
        <v>181</v>
      </c>
      <c r="C567" s="53">
        <v>2</v>
      </c>
      <c r="D567" s="71" t="s">
        <v>204</v>
      </c>
      <c r="E567" s="44" t="s">
        <v>336</v>
      </c>
      <c r="F567" s="70" t="s">
        <v>66</v>
      </c>
      <c r="G567" s="72">
        <v>30</v>
      </c>
      <c r="H567" s="53" t="s">
        <v>207</v>
      </c>
      <c r="I567" s="73">
        <v>1</v>
      </c>
      <c r="J567" s="74">
        <f>IF($D567="무료",0,IF($D567="메뉴",0,IF($D567="프렙",IFERROR(VLOOKUP($E567,'② 프렙 원가'!$B$6:$F$16,5,FALSE),0),IFERROR(VLOOKUP($E567,'① 식재료 단가'!$B$6:$G$123,6,FALSE),0))))</f>
      </c>
      <c r="K567" s="75">
        <f>IF($D567="메뉴",ROUND($G567*$J567,1),IF($I567&gt;0,ROUND($G567/$I567*$J567,1),0))</f>
      </c>
      <c r="L567" s="54" t="s">
        <v>350</v>
      </c>
    </row>
    <row r="568" spans="1:12" x14ac:dyDescent="0.25">
      <c r="A568" s="70" t="s">
        <v>86</v>
      </c>
      <c r="B568" s="31" t="s">
        <v>181</v>
      </c>
      <c r="C568" s="53">
        <v>3</v>
      </c>
      <c r="D568" s="71" t="s">
        <v>204</v>
      </c>
      <c r="E568" s="44" t="s">
        <v>253</v>
      </c>
      <c r="F568" s="70" t="s">
        <v>269</v>
      </c>
      <c r="G568" s="72">
        <v>5</v>
      </c>
      <c r="H568" s="53" t="s">
        <v>207</v>
      </c>
      <c r="I568" s="73">
        <v>1</v>
      </c>
      <c r="J568" s="74">
        <f>IF($D568="무료",0,IF($D568="메뉴",0,IF($D568="프렙",IFERROR(VLOOKUP($E568,'② 프렙 원가'!$B$6:$F$16,5,FALSE),0),IFERROR(VLOOKUP($E568,'① 식재료 단가'!$B$6:$G$123,6,FALSE),0))))</f>
      </c>
      <c r="K568" s="75">
        <f>IF($D568="메뉴",ROUND($G568*$J568,1),IF($I568&gt;0,ROUND($G568/$I568*$J568,1),0))</f>
      </c>
      <c r="L568" s="54" t="s">
        <v>242</v>
      </c>
    </row>
    <row r="569" spans="1:12" x14ac:dyDescent="0.25">
      <c r="A569" s="70" t="s">
        <v>86</v>
      </c>
      <c r="B569" s="31" t="s">
        <v>181</v>
      </c>
      <c r="C569" s="53">
        <v>4</v>
      </c>
      <c r="D569" s="71" t="s">
        <v>204</v>
      </c>
      <c r="E569" s="44" t="s">
        <v>327</v>
      </c>
      <c r="F569" s="70" t="s">
        <v>66</v>
      </c>
      <c r="G569" s="72">
        <v>2</v>
      </c>
      <c r="H569" s="53" t="s">
        <v>207</v>
      </c>
      <c r="I569" s="73">
        <v>1</v>
      </c>
      <c r="J569" s="74">
        <f>IF($D569="무료",0,IF($D569="메뉴",0,IF($D569="프렙",IFERROR(VLOOKUP($E569,'② 프렙 원가'!$B$6:$F$16,5,FALSE),0),IFERROR(VLOOKUP($E569,'① 식재료 단가'!$B$6:$G$123,6,FALSE),0))))</f>
      </c>
      <c r="K569" s="75">
        <f>IF($D569="메뉴",ROUND($G569*$J569,1),IF($I569&gt;0,ROUND($G569/$I569*$J569,1),0))</f>
      </c>
      <c r="L569" s="54" t="s">
        <v>66</v>
      </c>
    </row>
    <row r="570" spans="1:12" x14ac:dyDescent="0.25">
      <c r="A570" s="70" t="s">
        <v>86</v>
      </c>
      <c r="B570" s="31" t="s">
        <v>181</v>
      </c>
      <c r="C570" s="53">
        <v>5</v>
      </c>
      <c r="D570" s="71" t="s">
        <v>204</v>
      </c>
      <c r="E570" s="44" t="s">
        <v>246</v>
      </c>
      <c r="F570" s="70" t="s">
        <v>247</v>
      </c>
      <c r="G570" s="72">
        <v>1</v>
      </c>
      <c r="H570" s="53" t="s">
        <v>207</v>
      </c>
      <c r="I570" s="73">
        <v>1</v>
      </c>
      <c r="J570" s="74">
        <f>IF($D570="무료",0,IF($D570="메뉴",0,IF($D570="프렙",IFERROR(VLOOKUP($E570,'② 프렙 원가'!$B$6:$F$16,5,FALSE),0),IFERROR(VLOOKUP($E570,'① 식재료 단가'!$B$6:$G$123,6,FALSE),0))))</f>
      </c>
      <c r="K570" s="75">
        <f>IF($D570="메뉴",ROUND($G570*$J570,1),IF($I570&gt;0,ROUND($G570/$I570*$J570,1),0))</f>
      </c>
      <c r="L570" s="54" t="s">
        <v>66</v>
      </c>
    </row>
    <row r="571" spans="1:12" x14ac:dyDescent="0.25">
      <c r="A571" s="70" t="s">
        <v>86</v>
      </c>
      <c r="B571" s="31" t="s">
        <v>181</v>
      </c>
      <c r="C571" s="53">
        <v>6</v>
      </c>
      <c r="D571" s="71" t="s">
        <v>204</v>
      </c>
      <c r="E571" s="44" t="s">
        <v>216</v>
      </c>
      <c r="F571" s="70" t="s">
        <v>66</v>
      </c>
      <c r="G571" s="72">
        <v>2</v>
      </c>
      <c r="H571" s="53" t="s">
        <v>207</v>
      </c>
      <c r="I571" s="73">
        <v>1</v>
      </c>
      <c r="J571" s="74">
        <f>IF($D571="무료",0,IF($D571="메뉴",0,IF($D571="프렙",IFERROR(VLOOKUP($E571,'② 프렙 원가'!$B$6:$F$16,5,FALSE),0),IFERROR(VLOOKUP($E571,'① 식재료 단가'!$B$6:$G$123,6,FALSE),0))))</f>
      </c>
      <c r="K571" s="75">
        <f>IF($D571="메뉴",ROUND($G571*$J571,1),IF($I571&gt;0,ROUND($G571/$I571*$J571,1),0))</f>
      </c>
      <c r="L571" s="54" t="s">
        <v>66</v>
      </c>
    </row>
    <row r="572" spans="1:12" x14ac:dyDescent="0.25">
      <c r="A572" s="70" t="s">
        <v>86</v>
      </c>
      <c r="B572" s="31" t="s">
        <v>181</v>
      </c>
      <c r="C572" s="53">
        <v>7</v>
      </c>
      <c r="D572" s="71" t="s">
        <v>204</v>
      </c>
      <c r="E572" s="44" t="s">
        <v>268</v>
      </c>
      <c r="F572" s="70" t="s">
        <v>66</v>
      </c>
      <c r="G572" s="72">
        <v>2</v>
      </c>
      <c r="H572" s="53" t="s">
        <v>207</v>
      </c>
      <c r="I572" s="73">
        <v>1</v>
      </c>
      <c r="J572" s="74">
        <f>IF($D572="무료",0,IF($D572="메뉴",0,IF($D572="프렙",IFERROR(VLOOKUP($E572,'② 프렙 원가'!$B$6:$F$16,5,FALSE),0),IFERROR(VLOOKUP($E572,'① 식재료 단가'!$B$6:$G$123,6,FALSE),0))))</f>
      </c>
      <c r="K572" s="75">
        <f>IF($D572="메뉴",ROUND($G572*$J572,1),IF($I572&gt;0,ROUND($G572/$I572*$J572,1),0))</f>
      </c>
      <c r="L572" s="54" t="s">
        <v>255</v>
      </c>
    </row>
    <row r="573" spans="1:12" x14ac:dyDescent="0.25">
      <c r="A573" s="77" t="s">
        <v>87</v>
      </c>
      <c r="B573" s="36" t="s">
        <v>182</v>
      </c>
      <c r="C573" s="63">
        <v>1</v>
      </c>
      <c r="D573" s="78" t="s">
        <v>204</v>
      </c>
      <c r="E573" s="49" t="s">
        <v>446</v>
      </c>
      <c r="F573" s="77" t="s">
        <v>66</v>
      </c>
      <c r="G573" s="72">
        <v>10</v>
      </c>
      <c r="H573" s="63" t="s">
        <v>207</v>
      </c>
      <c r="I573" s="73">
        <v>1</v>
      </c>
      <c r="J573" s="74">
        <f>IF($D573="무료",0,IF($D573="메뉴",0,IF($D573="프렙",IFERROR(VLOOKUP($E573,'② 프렙 원가'!$B$6:$F$16,5,FALSE),0),IFERROR(VLOOKUP($E573,'① 식재료 단가'!$B$6:$G$123,6,FALSE),0))))</f>
      </c>
      <c r="K573" s="75">
        <f>IF($D573="메뉴",ROUND($G573*$J573,1),IF($I573&gt;0,ROUND($G573/$I573*$J573,1),0))</f>
      </c>
      <c r="L573" s="64" t="s">
        <v>66</v>
      </c>
    </row>
    <row r="574" spans="1:12" x14ac:dyDescent="0.25">
      <c r="A574" s="77" t="s">
        <v>87</v>
      </c>
      <c r="B574" s="36" t="s">
        <v>182</v>
      </c>
      <c r="C574" s="63">
        <v>2</v>
      </c>
      <c r="D574" s="78" t="s">
        <v>204</v>
      </c>
      <c r="E574" s="49" t="s">
        <v>228</v>
      </c>
      <c r="F574" s="77" t="s">
        <v>66</v>
      </c>
      <c r="G574" s="72">
        <v>10</v>
      </c>
      <c r="H574" s="63" t="s">
        <v>207</v>
      </c>
      <c r="I574" s="73">
        <v>1</v>
      </c>
      <c r="J574" s="74">
        <f>IF($D574="무료",0,IF($D574="메뉴",0,IF($D574="프렙",IFERROR(VLOOKUP($E574,'② 프렙 원가'!$B$6:$F$16,5,FALSE),0),IFERROR(VLOOKUP($E574,'① 식재료 단가'!$B$6:$G$123,6,FALSE),0))))</f>
      </c>
      <c r="K574" s="75">
        <f>IF($D574="메뉴",ROUND($G574*$J574,1),IF($I574&gt;0,ROUND($G574/$I574*$J574,1),0))</f>
      </c>
      <c r="L574" s="64" t="s">
        <v>66</v>
      </c>
    </row>
    <row r="575" spans="1:12" x14ac:dyDescent="0.25">
      <c r="A575" s="77" t="s">
        <v>87</v>
      </c>
      <c r="B575" s="36" t="s">
        <v>182</v>
      </c>
      <c r="C575" s="63">
        <v>3</v>
      </c>
      <c r="D575" s="81" t="s">
        <v>396</v>
      </c>
      <c r="E575" s="49" t="s">
        <v>397</v>
      </c>
      <c r="F575" s="77" t="s">
        <v>66</v>
      </c>
      <c r="G575" s="72">
        <v>150</v>
      </c>
      <c r="H575" s="63" t="s">
        <v>207</v>
      </c>
      <c r="I575" s="73">
        <v>1</v>
      </c>
      <c r="J575" s="74">
        <f>IF($D575="무료",0,IF($D575="메뉴",0,IF($D575="프렙",IFERROR(VLOOKUP($E575,'② 프렙 원가'!$B$6:$F$16,5,FALSE),0),IFERROR(VLOOKUP($E575,'① 식재료 단가'!$B$6:$G$123,6,FALSE),0))))</f>
      </c>
      <c r="K575" s="75">
        <f>IF($D575="메뉴",ROUND($G575*$J575,1),IF($I575&gt;0,ROUND($G575/$I575*$J575,1),0))</f>
      </c>
      <c r="L575" s="64" t="s">
        <v>66</v>
      </c>
    </row>
    <row r="576" spans="1:12" x14ac:dyDescent="0.25">
      <c r="A576" s="77" t="s">
        <v>87</v>
      </c>
      <c r="B576" s="36" t="s">
        <v>182</v>
      </c>
      <c r="C576" s="63">
        <v>4</v>
      </c>
      <c r="D576" s="78" t="s">
        <v>204</v>
      </c>
      <c r="E576" s="49" t="s">
        <v>217</v>
      </c>
      <c r="F576" s="77" t="s">
        <v>66</v>
      </c>
      <c r="G576" s="72">
        <v>5</v>
      </c>
      <c r="H576" s="63" t="s">
        <v>207</v>
      </c>
      <c r="I576" s="73">
        <v>1</v>
      </c>
      <c r="J576" s="74">
        <f>IF($D576="무료",0,IF($D576="메뉴",0,IF($D576="프렙",IFERROR(VLOOKUP($E576,'② 프렙 원가'!$B$6:$F$16,5,FALSE),0),IFERROR(VLOOKUP($E576,'① 식재료 단가'!$B$6:$G$123,6,FALSE),0))))</f>
      </c>
      <c r="K576" s="75">
        <f>IF($D576="메뉴",ROUND($G576*$J576,1),IF($I576&gt;0,ROUND($G576/$I576*$J576,1),0))</f>
      </c>
      <c r="L576" s="64" t="s">
        <v>66</v>
      </c>
    </row>
    <row r="577" spans="1:12" x14ac:dyDescent="0.25">
      <c r="A577" s="70" t="s">
        <v>87</v>
      </c>
      <c r="B577" s="31" t="s">
        <v>183</v>
      </c>
      <c r="C577" s="53">
        <v>1</v>
      </c>
      <c r="D577" s="76" t="s">
        <v>209</v>
      </c>
      <c r="E577" s="44" t="s">
        <v>407</v>
      </c>
      <c r="F577" s="70" t="s">
        <v>443</v>
      </c>
      <c r="G577" s="72">
        <v>250</v>
      </c>
      <c r="H577" s="53" t="s">
        <v>207</v>
      </c>
      <c r="I577" s="73">
        <v>1</v>
      </c>
      <c r="J577" s="74">
        <f>IF($D577="무료",0,IF($D577="메뉴",0,IF($D577="프렙",IFERROR(VLOOKUP($E577,'② 프렙 원가'!$B$6:$F$16,5,FALSE),0),IFERROR(VLOOKUP($E577,'① 식재료 단가'!$B$6:$G$123,6,FALSE),0))))</f>
      </c>
      <c r="K577" s="75">
        <f>IF($D577="메뉴",ROUND($G577*$J577,1),IF($I577&gt;0,ROUND($G577/$I577*$J577,1),0))</f>
      </c>
      <c r="L577" s="54" t="s">
        <v>66</v>
      </c>
    </row>
    <row r="578" spans="1:12" x14ac:dyDescent="0.25">
      <c r="A578" s="70" t="s">
        <v>87</v>
      </c>
      <c r="B578" s="31" t="s">
        <v>183</v>
      </c>
      <c r="C578" s="53">
        <v>2</v>
      </c>
      <c r="D578" s="71" t="s">
        <v>204</v>
      </c>
      <c r="E578" s="44" t="s">
        <v>447</v>
      </c>
      <c r="F578" s="70" t="s">
        <v>448</v>
      </c>
      <c r="G578" s="72">
        <v>20</v>
      </c>
      <c r="H578" s="53" t="s">
        <v>207</v>
      </c>
      <c r="I578" s="73">
        <v>1</v>
      </c>
      <c r="J578" s="74">
        <f>IF($D578="무료",0,IF($D578="메뉴",0,IF($D578="프렙",IFERROR(VLOOKUP($E578,'② 프렙 원가'!$B$6:$F$16,5,FALSE),0),IFERROR(VLOOKUP($E578,'① 식재료 단가'!$B$6:$G$123,6,FALSE),0))))</f>
      </c>
      <c r="K578" s="75">
        <f>IF($D578="메뉴",ROUND($G578*$J578,1),IF($I578&gt;0,ROUND($G578/$I578*$J578,1),0))</f>
      </c>
      <c r="L578" s="54" t="s">
        <v>449</v>
      </c>
    </row>
    <row r="579" spans="1:12" x14ac:dyDescent="0.25">
      <c r="A579" s="70" t="s">
        <v>87</v>
      </c>
      <c r="B579" s="31" t="s">
        <v>183</v>
      </c>
      <c r="C579" s="53">
        <v>3</v>
      </c>
      <c r="D579" s="71" t="s">
        <v>204</v>
      </c>
      <c r="E579" s="44" t="s">
        <v>217</v>
      </c>
      <c r="F579" s="70" t="s">
        <v>66</v>
      </c>
      <c r="G579" s="72">
        <v>20</v>
      </c>
      <c r="H579" s="53" t="s">
        <v>207</v>
      </c>
      <c r="I579" s="73">
        <v>1</v>
      </c>
      <c r="J579" s="74">
        <f>IF($D579="무료",0,IF($D579="메뉴",0,IF($D579="프렙",IFERROR(VLOOKUP($E579,'② 프렙 원가'!$B$6:$F$16,5,FALSE),0),IFERROR(VLOOKUP($E579,'① 식재료 단가'!$B$6:$G$123,6,FALSE),0))))</f>
      </c>
      <c r="K579" s="75">
        <f>IF($D579="메뉴",ROUND($G579*$J579,1),IF($I579&gt;0,ROUND($G579/$I579*$J579,1),0))</f>
      </c>
      <c r="L579" s="54" t="s">
        <v>66</v>
      </c>
    </row>
    <row r="580" spans="1:12" x14ac:dyDescent="0.25">
      <c r="A580" s="70" t="s">
        <v>87</v>
      </c>
      <c r="B580" s="31" t="s">
        <v>183</v>
      </c>
      <c r="C580" s="53">
        <v>4</v>
      </c>
      <c r="D580" s="80" t="s">
        <v>396</v>
      </c>
      <c r="E580" s="44" t="s">
        <v>397</v>
      </c>
      <c r="F580" s="70" t="s">
        <v>66</v>
      </c>
      <c r="G580" s="72">
        <v>50</v>
      </c>
      <c r="H580" s="53" t="s">
        <v>207</v>
      </c>
      <c r="I580" s="73">
        <v>1</v>
      </c>
      <c r="J580" s="74">
        <f>IF($D580="무료",0,IF($D580="메뉴",0,IF($D580="프렙",IFERROR(VLOOKUP($E580,'② 프렙 원가'!$B$6:$F$16,5,FALSE),0),IFERROR(VLOOKUP($E580,'① 식재료 단가'!$B$6:$G$123,6,FALSE),0))))</f>
      </c>
      <c r="K580" s="75">
        <f>IF($D580="메뉴",ROUND($G580*$J580,1),IF($I580&gt;0,ROUND($G580/$I580*$J580,1),0))</f>
      </c>
      <c r="L580" s="54" t="s">
        <v>66</v>
      </c>
    </row>
    <row r="581" spans="1:12" x14ac:dyDescent="0.25">
      <c r="A581" s="77" t="s">
        <v>87</v>
      </c>
      <c r="B581" s="36" t="s">
        <v>184</v>
      </c>
      <c r="C581" s="63">
        <v>1</v>
      </c>
      <c r="D581" s="78" t="s">
        <v>204</v>
      </c>
      <c r="E581" s="49" t="s">
        <v>446</v>
      </c>
      <c r="F581" s="77" t="s">
        <v>66</v>
      </c>
      <c r="G581" s="72">
        <v>10</v>
      </c>
      <c r="H581" s="63" t="s">
        <v>207</v>
      </c>
      <c r="I581" s="73">
        <v>1</v>
      </c>
      <c r="J581" s="74">
        <f>IF($D581="무료",0,IF($D581="메뉴",0,IF($D581="프렙",IFERROR(VLOOKUP($E581,'② 프렙 원가'!$B$6:$F$16,5,FALSE),0),IFERROR(VLOOKUP($E581,'① 식재료 단가'!$B$6:$G$123,6,FALSE),0))))</f>
      </c>
      <c r="K581" s="75">
        <f>IF($D581="메뉴",ROUND($G581*$J581,1),IF($I581&gt;0,ROUND($G581/$I581*$J581,1),0))</f>
      </c>
      <c r="L581" s="64" t="s">
        <v>66</v>
      </c>
    </row>
    <row r="582" spans="1:12" x14ac:dyDescent="0.25">
      <c r="A582" s="77" t="s">
        <v>87</v>
      </c>
      <c r="B582" s="36" t="s">
        <v>184</v>
      </c>
      <c r="C582" s="63">
        <v>2</v>
      </c>
      <c r="D582" s="78" t="s">
        <v>204</v>
      </c>
      <c r="E582" s="49" t="s">
        <v>228</v>
      </c>
      <c r="F582" s="77" t="s">
        <v>66</v>
      </c>
      <c r="G582" s="72">
        <v>10</v>
      </c>
      <c r="H582" s="63" t="s">
        <v>207</v>
      </c>
      <c r="I582" s="73">
        <v>1</v>
      </c>
      <c r="J582" s="74">
        <f>IF($D582="무료",0,IF($D582="메뉴",0,IF($D582="프렙",IFERROR(VLOOKUP($E582,'② 프렙 원가'!$B$6:$F$16,5,FALSE),0),IFERROR(VLOOKUP($E582,'① 식재료 단가'!$B$6:$G$123,6,FALSE),0))))</f>
      </c>
      <c r="K582" s="75">
        <f>IF($D582="메뉴",ROUND($G582*$J582,1),IF($I582&gt;0,ROUND($G582/$I582*$J582,1),0))</f>
      </c>
      <c r="L582" s="64" t="s">
        <v>66</v>
      </c>
    </row>
    <row r="583" spans="1:12" x14ac:dyDescent="0.25">
      <c r="A583" s="77" t="s">
        <v>87</v>
      </c>
      <c r="B583" s="36" t="s">
        <v>184</v>
      </c>
      <c r="C583" s="63">
        <v>3</v>
      </c>
      <c r="D583" s="81" t="s">
        <v>396</v>
      </c>
      <c r="E583" s="49" t="s">
        <v>397</v>
      </c>
      <c r="F583" s="77" t="s">
        <v>66</v>
      </c>
      <c r="G583" s="72">
        <v>150</v>
      </c>
      <c r="H583" s="63" t="s">
        <v>207</v>
      </c>
      <c r="I583" s="73">
        <v>1</v>
      </c>
      <c r="J583" s="74">
        <f>IF($D583="무료",0,IF($D583="메뉴",0,IF($D583="프렙",IFERROR(VLOOKUP($E583,'② 프렙 원가'!$B$6:$F$16,5,FALSE),0),IFERROR(VLOOKUP($E583,'① 식재료 단가'!$B$6:$G$123,6,FALSE),0))))</f>
      </c>
      <c r="K583" s="75">
        <f>IF($D583="메뉴",ROUND($G583*$J583,1),IF($I583&gt;0,ROUND($G583/$I583*$J583,1),0))</f>
      </c>
      <c r="L583" s="64" t="s">
        <v>66</v>
      </c>
    </row>
    <row r="584" spans="1:12" x14ac:dyDescent="0.25">
      <c r="A584" s="77" t="s">
        <v>87</v>
      </c>
      <c r="B584" s="36" t="s">
        <v>184</v>
      </c>
      <c r="C584" s="63">
        <v>4</v>
      </c>
      <c r="D584" s="78" t="s">
        <v>204</v>
      </c>
      <c r="E584" s="49" t="s">
        <v>217</v>
      </c>
      <c r="F584" s="77" t="s">
        <v>66</v>
      </c>
      <c r="G584" s="72">
        <v>5</v>
      </c>
      <c r="H584" s="63" t="s">
        <v>207</v>
      </c>
      <c r="I584" s="73">
        <v>1</v>
      </c>
      <c r="J584" s="74">
        <f>IF($D584="무료",0,IF($D584="메뉴",0,IF($D584="프렙",IFERROR(VLOOKUP($E584,'② 프렙 원가'!$B$6:$F$16,5,FALSE),0),IFERROR(VLOOKUP($E584,'① 식재료 단가'!$B$6:$G$123,6,FALSE),0))))</f>
      </c>
      <c r="K584" s="75">
        <f>IF($D584="메뉴",ROUND($G584*$J584,1),IF($I584&gt;0,ROUND($G584/$I584*$J584,1),0))</f>
      </c>
      <c r="L584" s="64" t="s">
        <v>66</v>
      </c>
    </row>
    <row r="585" spans="1:12" x14ac:dyDescent="0.25">
      <c r="A585" s="77" t="s">
        <v>87</v>
      </c>
      <c r="B585" s="36" t="s">
        <v>184</v>
      </c>
      <c r="C585" s="63">
        <v>5</v>
      </c>
      <c r="D585" s="78" t="s">
        <v>204</v>
      </c>
      <c r="E585" s="49" t="s">
        <v>450</v>
      </c>
      <c r="F585" s="77" t="s">
        <v>66</v>
      </c>
      <c r="G585" s="72">
        <v>5</v>
      </c>
      <c r="H585" s="63" t="s">
        <v>207</v>
      </c>
      <c r="I585" s="73">
        <v>1</v>
      </c>
      <c r="J585" s="74">
        <f>IF($D585="무료",0,IF($D585="메뉴",0,IF($D585="프렙",IFERROR(VLOOKUP($E585,'② 프렙 원가'!$B$6:$F$16,5,FALSE),0),IFERROR(VLOOKUP($E585,'① 식재료 단가'!$B$6:$G$123,6,FALSE),0))))</f>
      </c>
      <c r="K585" s="75">
        <f>IF($D585="메뉴",ROUND($G585*$J585,1),IF($I585&gt;0,ROUND($G585/$I585*$J585,1),0))</f>
      </c>
      <c r="L585" s="64" t="s">
        <v>66</v>
      </c>
    </row>
    <row r="586" spans="1:12" x14ac:dyDescent="0.25">
      <c r="A586" s="70" t="s">
        <v>87</v>
      </c>
      <c r="B586" s="31" t="s">
        <v>185</v>
      </c>
      <c r="C586" s="53">
        <v>1</v>
      </c>
      <c r="D586" s="76" t="s">
        <v>209</v>
      </c>
      <c r="E586" s="44" t="s">
        <v>407</v>
      </c>
      <c r="F586" s="70" t="s">
        <v>443</v>
      </c>
      <c r="G586" s="72">
        <v>250</v>
      </c>
      <c r="H586" s="53" t="s">
        <v>207</v>
      </c>
      <c r="I586" s="73">
        <v>1</v>
      </c>
      <c r="J586" s="74">
        <f>IF($D586="무료",0,IF($D586="메뉴",0,IF($D586="프렙",IFERROR(VLOOKUP($E586,'② 프렙 원가'!$B$6:$F$16,5,FALSE),0),IFERROR(VLOOKUP($E586,'① 식재료 단가'!$B$6:$G$123,6,FALSE),0))))</f>
      </c>
      <c r="K586" s="75">
        <f>IF($D586="메뉴",ROUND($G586*$J586,1),IF($I586&gt;0,ROUND($G586/$I586*$J586,1),0))</f>
      </c>
      <c r="L586" s="54" t="s">
        <v>66</v>
      </c>
    </row>
    <row r="587" spans="1:12" x14ac:dyDescent="0.25">
      <c r="A587" s="70" t="s">
        <v>87</v>
      </c>
      <c r="B587" s="31" t="s">
        <v>185</v>
      </c>
      <c r="C587" s="53">
        <v>2</v>
      </c>
      <c r="D587" s="71" t="s">
        <v>204</v>
      </c>
      <c r="E587" s="44" t="s">
        <v>433</v>
      </c>
      <c r="F587" s="70" t="s">
        <v>434</v>
      </c>
      <c r="G587" s="72">
        <v>20</v>
      </c>
      <c r="H587" s="53" t="s">
        <v>207</v>
      </c>
      <c r="I587" s="73">
        <v>1</v>
      </c>
      <c r="J587" s="74">
        <f>IF($D587="무료",0,IF($D587="메뉴",0,IF($D587="프렙",IFERROR(VLOOKUP($E587,'② 프렙 원가'!$B$6:$F$16,5,FALSE),0),IFERROR(VLOOKUP($E587,'① 식재료 단가'!$B$6:$G$123,6,FALSE),0))))</f>
      </c>
      <c r="K587" s="75">
        <f>IF($D587="메뉴",ROUND($G587*$J587,1),IF($I587&gt;0,ROUND($G587/$I587*$J587,1),0))</f>
      </c>
      <c r="L587" s="54" t="s">
        <v>451</v>
      </c>
    </row>
    <row r="588" spans="1:12" x14ac:dyDescent="0.25">
      <c r="A588" s="70" t="s">
        <v>87</v>
      </c>
      <c r="B588" s="31" t="s">
        <v>185</v>
      </c>
      <c r="C588" s="53">
        <v>3</v>
      </c>
      <c r="D588" s="71" t="s">
        <v>204</v>
      </c>
      <c r="E588" s="44" t="s">
        <v>217</v>
      </c>
      <c r="F588" s="70" t="s">
        <v>66</v>
      </c>
      <c r="G588" s="72">
        <v>20</v>
      </c>
      <c r="H588" s="53" t="s">
        <v>207</v>
      </c>
      <c r="I588" s="73">
        <v>1</v>
      </c>
      <c r="J588" s="74">
        <f>IF($D588="무료",0,IF($D588="메뉴",0,IF($D588="프렙",IFERROR(VLOOKUP($E588,'② 프렙 원가'!$B$6:$F$16,5,FALSE),0),IFERROR(VLOOKUP($E588,'① 식재료 단가'!$B$6:$G$123,6,FALSE),0))))</f>
      </c>
      <c r="K588" s="75">
        <f>IF($D588="메뉴",ROUND($G588*$J588,1),IF($I588&gt;0,ROUND($G588/$I588*$J588,1),0))</f>
      </c>
      <c r="L588" s="54" t="s">
        <v>66</v>
      </c>
    </row>
    <row r="589" spans="1:12" x14ac:dyDescent="0.25">
      <c r="A589" s="70" t="s">
        <v>87</v>
      </c>
      <c r="B589" s="31" t="s">
        <v>185</v>
      </c>
      <c r="C589" s="53">
        <v>4</v>
      </c>
      <c r="D589" s="80" t="s">
        <v>396</v>
      </c>
      <c r="E589" s="44" t="s">
        <v>397</v>
      </c>
      <c r="F589" s="70" t="s">
        <v>66</v>
      </c>
      <c r="G589" s="72">
        <v>50</v>
      </c>
      <c r="H589" s="53" t="s">
        <v>207</v>
      </c>
      <c r="I589" s="73">
        <v>1</v>
      </c>
      <c r="J589" s="74">
        <f>IF($D589="무료",0,IF($D589="메뉴",0,IF($D589="프렙",IFERROR(VLOOKUP($E589,'② 프렙 원가'!$B$6:$F$16,5,FALSE),0),IFERROR(VLOOKUP($E589,'① 식재료 단가'!$B$6:$G$123,6,FALSE),0))))</f>
      </c>
      <c r="K589" s="75">
        <f>IF($D589="메뉴",ROUND($G589*$J589,1),IF($I589&gt;0,ROUND($G589/$I589*$J589,1),0))</f>
      </c>
      <c r="L589" s="54" t="s">
        <v>66</v>
      </c>
    </row>
    <row r="590" spans="1:12" x14ac:dyDescent="0.25">
      <c r="A590" s="77" t="s">
        <v>87</v>
      </c>
      <c r="B590" s="36" t="s">
        <v>186</v>
      </c>
      <c r="C590" s="63">
        <v>1</v>
      </c>
      <c r="D590" s="79" t="s">
        <v>209</v>
      </c>
      <c r="E590" s="49" t="s">
        <v>407</v>
      </c>
      <c r="F590" s="77" t="s">
        <v>443</v>
      </c>
      <c r="G590" s="72">
        <v>250</v>
      </c>
      <c r="H590" s="63" t="s">
        <v>207</v>
      </c>
      <c r="I590" s="73">
        <v>1</v>
      </c>
      <c r="J590" s="74">
        <f>IF($D590="무료",0,IF($D590="메뉴",0,IF($D590="프렙",IFERROR(VLOOKUP($E590,'② 프렙 원가'!$B$6:$F$16,5,FALSE),0),IFERROR(VLOOKUP($E590,'① 식재료 단가'!$B$6:$G$123,6,FALSE),0))))</f>
      </c>
      <c r="K590" s="75">
        <f>IF($D590="메뉴",ROUND($G590*$J590,1),IF($I590&gt;0,ROUND($G590/$I590*$J590,1),0))</f>
      </c>
      <c r="L590" s="64" t="s">
        <v>452</v>
      </c>
    </row>
    <row r="591" spans="1:12" x14ac:dyDescent="0.25">
      <c r="A591" s="77" t="s">
        <v>87</v>
      </c>
      <c r="B591" s="36" t="s">
        <v>186</v>
      </c>
      <c r="C591" s="63">
        <v>2</v>
      </c>
      <c r="D591" s="81" t="s">
        <v>396</v>
      </c>
      <c r="E591" s="49" t="s">
        <v>397</v>
      </c>
      <c r="F591" s="77" t="s">
        <v>453</v>
      </c>
      <c r="G591" s="72">
        <v>100</v>
      </c>
      <c r="H591" s="63" t="s">
        <v>207</v>
      </c>
      <c r="I591" s="73">
        <v>1</v>
      </c>
      <c r="J591" s="74">
        <f>IF($D591="무료",0,IF($D591="메뉴",0,IF($D591="프렙",IFERROR(VLOOKUP($E591,'② 프렙 원가'!$B$6:$F$16,5,FALSE),0),IFERROR(VLOOKUP($E591,'① 식재료 단가'!$B$6:$G$123,6,FALSE),0))))</f>
      </c>
      <c r="K591" s="75">
        <f>IF($D591="메뉴",ROUND($G591*$J591,1),IF($I591&gt;0,ROUND($G591/$I591*$J591,1),0))</f>
      </c>
      <c r="L591" s="64" t="s">
        <v>229</v>
      </c>
    </row>
    <row r="592" spans="1:12" x14ac:dyDescent="0.25">
      <c r="A592" s="77" t="s">
        <v>87</v>
      </c>
      <c r="B592" s="36" t="s">
        <v>186</v>
      </c>
      <c r="C592" s="63">
        <v>3</v>
      </c>
      <c r="D592" s="78" t="s">
        <v>204</v>
      </c>
      <c r="E592" s="49" t="s">
        <v>217</v>
      </c>
      <c r="F592" s="77" t="s">
        <v>66</v>
      </c>
      <c r="G592" s="72">
        <v>20</v>
      </c>
      <c r="H592" s="63" t="s">
        <v>207</v>
      </c>
      <c r="I592" s="73">
        <v>1</v>
      </c>
      <c r="J592" s="74">
        <f>IF($D592="무료",0,IF($D592="메뉴",0,IF($D592="프렙",IFERROR(VLOOKUP($E592,'② 프렙 원가'!$B$6:$F$16,5,FALSE),0),IFERROR(VLOOKUP($E592,'① 식재료 단가'!$B$6:$G$123,6,FALSE),0))))</f>
      </c>
      <c r="K592" s="75">
        <f>IF($D592="메뉴",ROUND($G592*$J592,1),IF($I592&gt;0,ROUND($G592/$I592*$J592,1),0))</f>
      </c>
      <c r="L592" s="64" t="s">
        <v>66</v>
      </c>
    </row>
    <row r="593" spans="1:12" x14ac:dyDescent="0.25">
      <c r="A593" s="77" t="s">
        <v>87</v>
      </c>
      <c r="B593" s="36" t="s">
        <v>186</v>
      </c>
      <c r="C593" s="63">
        <v>4</v>
      </c>
      <c r="D593" s="78" t="s">
        <v>204</v>
      </c>
      <c r="E593" s="49" t="s">
        <v>216</v>
      </c>
      <c r="F593" s="77" t="s">
        <v>66</v>
      </c>
      <c r="G593" s="72">
        <v>1</v>
      </c>
      <c r="H593" s="63" t="s">
        <v>207</v>
      </c>
      <c r="I593" s="73">
        <v>1</v>
      </c>
      <c r="J593" s="74">
        <f>IF($D593="무료",0,IF($D593="메뉴",0,IF($D593="프렙",IFERROR(VLOOKUP($E593,'② 프렙 원가'!$B$6:$F$16,5,FALSE),0),IFERROR(VLOOKUP($E593,'① 식재료 단가'!$B$6:$G$123,6,FALSE),0))))</f>
      </c>
      <c r="K593" s="75">
        <f>IF($D593="메뉴",ROUND($G593*$J593,1),IF($I593&gt;0,ROUND($G593/$I593*$J593,1),0))</f>
      </c>
      <c r="L593" s="64" t="s">
        <v>214</v>
      </c>
    </row>
    <row r="594" spans="1:12" x14ac:dyDescent="0.25">
      <c r="A594" s="70" t="s">
        <v>88</v>
      </c>
      <c r="B594" s="31" t="s">
        <v>187</v>
      </c>
      <c r="C594" s="53">
        <v>1</v>
      </c>
      <c r="D594" s="82" t="s">
        <v>454</v>
      </c>
      <c r="E594" s="44" t="s">
        <v>109</v>
      </c>
      <c r="F594" s="70" t="s">
        <v>455</v>
      </c>
      <c r="G594" s="72">
        <v>1</v>
      </c>
      <c r="H594" s="53" t="s">
        <v>456</v>
      </c>
      <c r="I594" s="73">
        <v>1</v>
      </c>
      <c r="J594" s="74">
        <f>IF($D594="무료",0,IF($D594="메뉴",IFERROR(VLOOKUP($E594,'④ 메뉴 원가표'!$C$6:$F$89,4,FALSE),0),IF($D594="프렙",IFERROR(VLOOKUP($E594,'② 프렙 원가'!$B$6:$F$16,5,FALSE),0),IFERROR(VLOOKUP($E594,'① 식재료 단가'!$B$6:$G$123,6,FALSE),0))))</f>
      </c>
      <c r="K594" s="75">
        <f>IF($D594="메뉴",ROUND($G594*$J594,1),IF($I594&gt;0,ROUND($G594/$I594*$J594,1),0))</f>
      </c>
      <c r="L594" s="54" t="s">
        <v>457</v>
      </c>
    </row>
    <row r="595" spans="1:12" x14ac:dyDescent="0.25">
      <c r="A595" s="70" t="s">
        <v>88</v>
      </c>
      <c r="B595" s="31" t="s">
        <v>187</v>
      </c>
      <c r="C595" s="53">
        <v>2</v>
      </c>
      <c r="D595" s="82" t="s">
        <v>454</v>
      </c>
      <c r="E595" s="44" t="s">
        <v>118</v>
      </c>
      <c r="F595" s="70" t="s">
        <v>458</v>
      </c>
      <c r="G595" s="72">
        <v>1</v>
      </c>
      <c r="H595" s="53" t="s">
        <v>456</v>
      </c>
      <c r="I595" s="73">
        <v>1</v>
      </c>
      <c r="J595" s="74">
        <f>IF($D595="무료",0,IF($D595="메뉴",IFERROR(VLOOKUP($E595,'④ 메뉴 원가표'!$C$6:$F$89,4,FALSE),0),IF($D595="프렙",IFERROR(VLOOKUP($E595,'② 프렙 원가'!$B$6:$F$16,5,FALSE),0),IFERROR(VLOOKUP($E595,'① 식재료 단가'!$B$6:$G$123,6,FALSE),0))))</f>
      </c>
      <c r="K595" s="75">
        <f>IF($D595="메뉴",ROUND($G595*$J595,1),IF($I595&gt;0,ROUND($G595/$I595*$J595,1),0))</f>
      </c>
      <c r="L595" s="54" t="s">
        <v>457</v>
      </c>
    </row>
    <row r="596" spans="1:12" x14ac:dyDescent="0.25">
      <c r="A596" s="70" t="s">
        <v>88</v>
      </c>
      <c r="B596" s="31" t="s">
        <v>187</v>
      </c>
      <c r="C596" s="53">
        <v>3</v>
      </c>
      <c r="D596" s="82" t="s">
        <v>454</v>
      </c>
      <c r="E596" s="44" t="s">
        <v>168</v>
      </c>
      <c r="F596" s="70" t="s">
        <v>66</v>
      </c>
      <c r="G596" s="72">
        <v>2</v>
      </c>
      <c r="H596" s="53" t="s">
        <v>456</v>
      </c>
      <c r="I596" s="73">
        <v>1</v>
      </c>
      <c r="J596" s="74">
        <f>IF($D596="무료",0,IF($D596="메뉴",IFERROR(VLOOKUP($E596,'④ 메뉴 원가표'!$C$6:$F$89,4,FALSE),0),IF($D596="프렙",IFERROR(VLOOKUP($E596,'② 프렙 원가'!$B$6:$F$16,5,FALSE),0),IFERROR(VLOOKUP($E596,'① 식재료 단가'!$B$6:$G$123,6,FALSE),0))))</f>
      </c>
      <c r="K596" s="75">
        <f>IF($D596="메뉴",ROUND($G596*$J596,1),IF($I596&gt;0,ROUND($G596/$I596*$J596,1),0))</f>
      </c>
      <c r="L596" s="54" t="s">
        <v>66</v>
      </c>
    </row>
    <row r="597" spans="1:12" x14ac:dyDescent="0.25">
      <c r="A597" s="70" t="s">
        <v>88</v>
      </c>
      <c r="B597" s="31" t="s">
        <v>187</v>
      </c>
      <c r="C597" s="53">
        <v>4</v>
      </c>
      <c r="D597" s="82" t="s">
        <v>454</v>
      </c>
      <c r="E597" s="44" t="s">
        <v>171</v>
      </c>
      <c r="F597" s="70" t="s">
        <v>459</v>
      </c>
      <c r="G597" s="72">
        <v>2</v>
      </c>
      <c r="H597" s="53" t="s">
        <v>456</v>
      </c>
      <c r="I597" s="73">
        <v>1</v>
      </c>
      <c r="J597" s="74">
        <f>IF($D597="무료",0,IF($D597="메뉴",IFERROR(VLOOKUP($E597,'④ 메뉴 원가표'!$C$6:$F$89,4,FALSE),0),IF($D597="프렙",IFERROR(VLOOKUP($E597,'② 프렙 원가'!$B$6:$F$16,5,FALSE),0),IFERROR(VLOOKUP($E597,'① 식재료 단가'!$B$6:$G$123,6,FALSE),0))))</f>
      </c>
      <c r="K597" s="75">
        <f>IF($D597="메뉴",ROUND($G597*$J597,1),IF($I597&gt;0,ROUND($G597/$I597*$J597,1),0))</f>
      </c>
      <c r="L597" s="54" t="s">
        <v>66</v>
      </c>
    </row>
    <row r="598" spans="1:12" x14ac:dyDescent="0.25">
      <c r="A598" s="70" t="s">
        <v>88</v>
      </c>
      <c r="B598" s="31" t="s">
        <v>187</v>
      </c>
      <c r="C598" s="53">
        <v>5</v>
      </c>
      <c r="D598" s="82" t="s">
        <v>454</v>
      </c>
      <c r="E598" s="44" t="s">
        <v>175</v>
      </c>
      <c r="F598" s="70" t="s">
        <v>66</v>
      </c>
      <c r="G598" s="72">
        <v>1</v>
      </c>
      <c r="H598" s="53" t="s">
        <v>456</v>
      </c>
      <c r="I598" s="73">
        <v>1</v>
      </c>
      <c r="J598" s="74">
        <f>IF($D598="무료",0,IF($D598="메뉴",IFERROR(VLOOKUP($E598,'④ 메뉴 원가표'!$C$6:$F$89,4,FALSE),0),IF($D598="프렙",IFERROR(VLOOKUP($E598,'② 프렙 원가'!$B$6:$F$16,5,FALSE),0),IFERROR(VLOOKUP($E598,'① 식재료 단가'!$B$6:$G$123,6,FALSE),0))))</f>
      </c>
      <c r="K598" s="75">
        <f>IF($D598="메뉴",ROUND($G598*$J598,1),IF($I598&gt;0,ROUND($G598/$I598*$J598,1),0))</f>
      </c>
      <c r="L598" s="54" t="s">
        <v>66</v>
      </c>
    </row>
    <row r="599" spans="1:12" x14ac:dyDescent="0.25">
      <c r="A599" s="70" t="s">
        <v>88</v>
      </c>
      <c r="B599" s="31" t="s">
        <v>187</v>
      </c>
      <c r="C599" s="53">
        <v>6</v>
      </c>
      <c r="D599" s="76" t="s">
        <v>209</v>
      </c>
      <c r="E599" s="44" t="s">
        <v>407</v>
      </c>
      <c r="F599" s="70" t="s">
        <v>460</v>
      </c>
      <c r="G599" s="72">
        <v>1</v>
      </c>
      <c r="H599" s="53" t="s">
        <v>456</v>
      </c>
      <c r="I599" s="73">
        <v>1</v>
      </c>
      <c r="J599" s="74">
        <f>IF($D599="무료",0,IF($D599="메뉴",IFERROR(VLOOKUP($E599,'④ 메뉴 원가표'!$C$6:$F$89,4,FALSE),0),IF($D599="프렙",IFERROR(VLOOKUP($E599,'② 프렙 원가'!$B$6:$F$16,5,FALSE),0),IFERROR(VLOOKUP($E599,'① 식재료 단가'!$B$6:$G$123,6,FALSE),0))))</f>
      </c>
      <c r="K599" s="75">
        <f>IF($D599="메뉴",ROUND($G599*$J599,1),IF($I599&gt;0,ROUND($G599/$I599*$J599,1),0))</f>
      </c>
      <c r="L599" s="54" t="s">
        <v>66</v>
      </c>
    </row>
    <row r="600" spans="1:12" x14ac:dyDescent="0.25">
      <c r="A600" s="77" t="s">
        <v>88</v>
      </c>
      <c r="B600" s="36" t="s">
        <v>188</v>
      </c>
      <c r="C600" s="63">
        <v>1</v>
      </c>
      <c r="D600" s="83" t="s">
        <v>454</v>
      </c>
      <c r="E600" s="49" t="s">
        <v>109</v>
      </c>
      <c r="F600" s="77" t="s">
        <v>461</v>
      </c>
      <c r="G600" s="72">
        <v>2</v>
      </c>
      <c r="H600" s="63" t="s">
        <v>456</v>
      </c>
      <c r="I600" s="73">
        <v>1</v>
      </c>
      <c r="J600" s="74">
        <f>IF($D600="무료",0,IF($D600="메뉴",IFERROR(VLOOKUP($E600,'④ 메뉴 원가표'!$C$6:$F$89,4,FALSE),0),IF($D600="프렙",IFERROR(VLOOKUP($E600,'② 프렙 원가'!$B$6:$F$16,5,FALSE),0),IFERROR(VLOOKUP($E600,'① 식재료 단가'!$B$6:$G$123,6,FALSE),0))))</f>
      </c>
      <c r="K600" s="75">
        <f>IF($D600="메뉴",ROUND($G600*$J600,1),IF($I600&gt;0,ROUND($G600/$I600*$J600,1),0))</f>
      </c>
      <c r="L600" s="64" t="s">
        <v>462</v>
      </c>
    </row>
    <row r="601" spans="1:12" x14ac:dyDescent="0.25">
      <c r="A601" s="77" t="s">
        <v>88</v>
      </c>
      <c r="B601" s="36" t="s">
        <v>188</v>
      </c>
      <c r="C601" s="63">
        <v>2</v>
      </c>
      <c r="D601" s="83" t="s">
        <v>454</v>
      </c>
      <c r="E601" s="49" t="s">
        <v>148</v>
      </c>
      <c r="F601" s="77" t="s">
        <v>463</v>
      </c>
      <c r="G601" s="72">
        <v>1</v>
      </c>
      <c r="H601" s="63" t="s">
        <v>456</v>
      </c>
      <c r="I601" s="73">
        <v>1</v>
      </c>
      <c r="J601" s="74">
        <f>IF($D601="무료",0,IF($D601="메뉴",IFERROR(VLOOKUP($E601,'④ 메뉴 원가표'!$C$6:$F$89,4,FALSE),0),IF($D601="프렙",IFERROR(VLOOKUP($E601,'② 프렙 원가'!$B$6:$F$16,5,FALSE),0),IFERROR(VLOOKUP($E601,'① 식재료 단가'!$B$6:$G$123,6,FALSE),0))))</f>
      </c>
      <c r="K601" s="75">
        <f>IF($D601="메뉴",ROUND($G601*$J601,1),IF($I601&gt;0,ROUND($G601/$I601*$J601,1),0))</f>
      </c>
      <c r="L601" s="64" t="s">
        <v>66</v>
      </c>
    </row>
    <row r="602" spans="1:12" x14ac:dyDescent="0.25">
      <c r="A602" s="77" t="s">
        <v>88</v>
      </c>
      <c r="B602" s="36" t="s">
        <v>188</v>
      </c>
      <c r="C602" s="63">
        <v>3</v>
      </c>
      <c r="D602" s="83" t="s">
        <v>454</v>
      </c>
      <c r="E602" s="49" t="s">
        <v>168</v>
      </c>
      <c r="F602" s="77" t="s">
        <v>66</v>
      </c>
      <c r="G602" s="72">
        <v>3</v>
      </c>
      <c r="H602" s="63" t="s">
        <v>456</v>
      </c>
      <c r="I602" s="73">
        <v>1</v>
      </c>
      <c r="J602" s="74">
        <f>IF($D602="무료",0,IF($D602="메뉴",IFERROR(VLOOKUP($E602,'④ 메뉴 원가표'!$C$6:$F$89,4,FALSE),0),IF($D602="프렙",IFERROR(VLOOKUP($E602,'② 프렙 원가'!$B$6:$F$16,5,FALSE),0),IFERROR(VLOOKUP($E602,'① 식재료 단가'!$B$6:$G$123,6,FALSE),0))))</f>
      </c>
      <c r="K602" s="75">
        <f>IF($D602="메뉴",ROUND($G602*$J602,1),IF($I602&gt;0,ROUND($G602/$I602*$J602,1),0))</f>
      </c>
      <c r="L602" s="64" t="s">
        <v>66</v>
      </c>
    </row>
    <row r="603" spans="1:12" x14ac:dyDescent="0.25">
      <c r="A603" s="77" t="s">
        <v>88</v>
      </c>
      <c r="B603" s="36" t="s">
        <v>188</v>
      </c>
      <c r="C603" s="63">
        <v>4</v>
      </c>
      <c r="D603" s="83" t="s">
        <v>454</v>
      </c>
      <c r="E603" s="49" t="s">
        <v>171</v>
      </c>
      <c r="F603" s="77" t="s">
        <v>464</v>
      </c>
      <c r="G603" s="72">
        <v>3</v>
      </c>
      <c r="H603" s="63" t="s">
        <v>456</v>
      </c>
      <c r="I603" s="73">
        <v>1</v>
      </c>
      <c r="J603" s="74">
        <f>IF($D603="무료",0,IF($D603="메뉴",IFERROR(VLOOKUP($E603,'④ 메뉴 원가표'!$C$6:$F$89,4,FALSE),0),IF($D603="프렙",IFERROR(VLOOKUP($E603,'② 프렙 원가'!$B$6:$F$16,5,FALSE),0),IFERROR(VLOOKUP($E603,'① 식재료 단가'!$B$6:$G$123,6,FALSE),0))))</f>
      </c>
      <c r="K603" s="75">
        <f>IF($D603="메뉴",ROUND($G603*$J603,1),IF($I603&gt;0,ROUND($G603/$I603*$J603,1),0))</f>
      </c>
      <c r="L603" s="64" t="s">
        <v>66</v>
      </c>
    </row>
    <row r="604" spans="1:12" x14ac:dyDescent="0.25">
      <c r="A604" s="77" t="s">
        <v>88</v>
      </c>
      <c r="B604" s="36" t="s">
        <v>188</v>
      </c>
      <c r="C604" s="63">
        <v>5</v>
      </c>
      <c r="D604" s="83" t="s">
        <v>454</v>
      </c>
      <c r="E604" s="49" t="s">
        <v>175</v>
      </c>
      <c r="F604" s="77" t="s">
        <v>465</v>
      </c>
      <c r="G604" s="72">
        <v>1</v>
      </c>
      <c r="H604" s="63" t="s">
        <v>456</v>
      </c>
      <c r="I604" s="73">
        <v>1</v>
      </c>
      <c r="J604" s="74">
        <f>IF($D604="무료",0,IF($D604="메뉴",IFERROR(VLOOKUP($E604,'④ 메뉴 원가표'!$C$6:$F$89,4,FALSE),0),IF($D604="프렙",IFERROR(VLOOKUP($E604,'② 프렙 원가'!$B$6:$F$16,5,FALSE),0),IFERROR(VLOOKUP($E604,'① 식재료 단가'!$B$6:$G$123,6,FALSE),0))))</f>
      </c>
      <c r="K604" s="75">
        <f>IF($D604="메뉴",ROUND($G604*$J604,1),IF($I604&gt;0,ROUND($G604/$I604*$J604,1),0))</f>
      </c>
      <c r="L604" s="64" t="s">
        <v>66</v>
      </c>
    </row>
    <row r="605" spans="1:12" x14ac:dyDescent="0.25">
      <c r="A605" s="77" t="s">
        <v>88</v>
      </c>
      <c r="B605" s="36" t="s">
        <v>188</v>
      </c>
      <c r="C605" s="63">
        <v>6</v>
      </c>
      <c r="D605" s="79" t="s">
        <v>209</v>
      </c>
      <c r="E605" s="49" t="s">
        <v>407</v>
      </c>
      <c r="F605" s="77" t="s">
        <v>179</v>
      </c>
      <c r="G605" s="72">
        <v>1</v>
      </c>
      <c r="H605" s="63" t="s">
        <v>456</v>
      </c>
      <c r="I605" s="73">
        <v>1</v>
      </c>
      <c r="J605" s="74">
        <f>IF($D605="무료",0,IF($D605="메뉴",IFERROR(VLOOKUP($E605,'④ 메뉴 원가표'!$C$6:$F$89,4,FALSE),0),IF($D605="프렙",IFERROR(VLOOKUP($E605,'② 프렙 원가'!$B$6:$F$16,5,FALSE),0),IFERROR(VLOOKUP($E605,'① 식재료 단가'!$B$6:$G$123,6,FALSE),0))))</f>
      </c>
      <c r="K605" s="75">
        <f>IF($D605="메뉴",ROUND($G605*$J605,1),IF($I605&gt;0,ROUND($G605/$I605*$J605,1),0))</f>
      </c>
      <c r="L605" s="64" t="s">
        <v>66</v>
      </c>
    </row>
    <row r="606" spans="1:12" x14ac:dyDescent="0.25">
      <c r="A606" s="70" t="s">
        <v>88</v>
      </c>
      <c r="B606" s="31" t="s">
        <v>189</v>
      </c>
      <c r="C606" s="53">
        <v>1</v>
      </c>
      <c r="D606" s="82" t="s">
        <v>454</v>
      </c>
      <c r="E606" s="44" t="s">
        <v>109</v>
      </c>
      <c r="F606" s="70" t="s">
        <v>461</v>
      </c>
      <c r="G606" s="72">
        <v>3</v>
      </c>
      <c r="H606" s="53" t="s">
        <v>456</v>
      </c>
      <c r="I606" s="73">
        <v>1</v>
      </c>
      <c r="J606" s="74">
        <f>IF($D606="무료",0,IF($D606="메뉴",IFERROR(VLOOKUP($E606,'④ 메뉴 원가표'!$C$6:$F$89,4,FALSE),0),IF($D606="프렙",IFERROR(VLOOKUP($E606,'② 프렙 원가'!$B$6:$F$16,5,FALSE),0),IFERROR(VLOOKUP($E606,'① 식재료 단가'!$B$6:$G$123,6,FALSE),0))))</f>
      </c>
      <c r="K606" s="75">
        <f>IF($D606="메뉴",ROUND($G606*$J606,1),IF($I606&gt;0,ROUND($G606/$I606*$J606,1),0))</f>
      </c>
      <c r="L606" s="54" t="s">
        <v>462</v>
      </c>
    </row>
    <row r="607" spans="1:12" x14ac:dyDescent="0.25">
      <c r="A607" s="70" t="s">
        <v>88</v>
      </c>
      <c r="B607" s="31" t="s">
        <v>189</v>
      </c>
      <c r="C607" s="53">
        <v>2</v>
      </c>
      <c r="D607" s="82" t="s">
        <v>454</v>
      </c>
      <c r="E607" s="44" t="s">
        <v>142</v>
      </c>
      <c r="F607" s="70" t="s">
        <v>466</v>
      </c>
      <c r="G607" s="72">
        <v>1</v>
      </c>
      <c r="H607" s="53" t="s">
        <v>456</v>
      </c>
      <c r="I607" s="73">
        <v>1</v>
      </c>
      <c r="J607" s="74">
        <f>IF($D607="무료",0,IF($D607="메뉴",IFERROR(VLOOKUP($E607,'④ 메뉴 원가표'!$C$6:$F$89,4,FALSE),0),IF($D607="프렙",IFERROR(VLOOKUP($E607,'② 프렙 원가'!$B$6:$F$16,5,FALSE),0),IFERROR(VLOOKUP($E607,'① 식재료 단가'!$B$6:$G$123,6,FALSE),0))))</f>
      </c>
      <c r="K607" s="75">
        <f>IF($D607="메뉴",ROUND($G607*$J607,1),IF($I607&gt;0,ROUND($G607/$I607*$J607,1),0))</f>
      </c>
      <c r="L607" s="54" t="s">
        <v>66</v>
      </c>
    </row>
    <row r="608" spans="1:12" x14ac:dyDescent="0.25">
      <c r="A608" s="70" t="s">
        <v>88</v>
      </c>
      <c r="B608" s="31" t="s">
        <v>189</v>
      </c>
      <c r="C608" s="53">
        <v>3</v>
      </c>
      <c r="D608" s="82" t="s">
        <v>454</v>
      </c>
      <c r="E608" s="44" t="s">
        <v>168</v>
      </c>
      <c r="F608" s="70" t="s">
        <v>467</v>
      </c>
      <c r="G608" s="72">
        <v>3</v>
      </c>
      <c r="H608" s="53" t="s">
        <v>456</v>
      </c>
      <c r="I608" s="73">
        <v>1</v>
      </c>
      <c r="J608" s="74">
        <f>IF($D608="무료",0,IF($D608="메뉴",IFERROR(VLOOKUP($E608,'④ 메뉴 원가표'!$C$6:$F$89,4,FALSE),0),IF($D608="프렙",IFERROR(VLOOKUP($E608,'② 프렙 원가'!$B$6:$F$16,5,FALSE),0),IFERROR(VLOOKUP($E608,'① 식재료 단가'!$B$6:$G$123,6,FALSE),0))))</f>
      </c>
      <c r="K608" s="75">
        <f>IF($D608="메뉴",ROUND($G608*$J608,1),IF($I608&gt;0,ROUND($G608/$I608*$J608,1),0))</f>
      </c>
      <c r="L608" s="54" t="s">
        <v>462</v>
      </c>
    </row>
    <row r="609" spans="1:12" x14ac:dyDescent="0.25">
      <c r="A609" s="70" t="s">
        <v>88</v>
      </c>
      <c r="B609" s="31" t="s">
        <v>189</v>
      </c>
      <c r="C609" s="53">
        <v>4</v>
      </c>
      <c r="D609" s="82" t="s">
        <v>454</v>
      </c>
      <c r="E609" s="44" t="s">
        <v>171</v>
      </c>
      <c r="F609" s="70" t="s">
        <v>464</v>
      </c>
      <c r="G609" s="72">
        <v>3</v>
      </c>
      <c r="H609" s="53" t="s">
        <v>456</v>
      </c>
      <c r="I609" s="73">
        <v>1</v>
      </c>
      <c r="J609" s="74">
        <f>IF($D609="무료",0,IF($D609="메뉴",IFERROR(VLOOKUP($E609,'④ 메뉴 원가표'!$C$6:$F$89,4,FALSE),0),IF($D609="프렙",IFERROR(VLOOKUP($E609,'② 프렙 원가'!$B$6:$F$16,5,FALSE),0),IFERROR(VLOOKUP($E609,'① 식재료 단가'!$B$6:$G$123,6,FALSE),0))))</f>
      </c>
      <c r="K609" s="75">
        <f>IF($D609="메뉴",ROUND($G609*$J609,1),IF($I609&gt;0,ROUND($G609/$I609*$J609,1),0))</f>
      </c>
      <c r="L609" s="54" t="s">
        <v>66</v>
      </c>
    </row>
    <row r="610" spans="1:12" x14ac:dyDescent="0.25">
      <c r="A610" s="70" t="s">
        <v>88</v>
      </c>
      <c r="B610" s="31" t="s">
        <v>189</v>
      </c>
      <c r="C610" s="53">
        <v>5</v>
      </c>
      <c r="D610" s="82" t="s">
        <v>454</v>
      </c>
      <c r="E610" s="44" t="s">
        <v>175</v>
      </c>
      <c r="F610" s="70" t="s">
        <v>465</v>
      </c>
      <c r="G610" s="72">
        <v>1</v>
      </c>
      <c r="H610" s="53" t="s">
        <v>456</v>
      </c>
      <c r="I610" s="73">
        <v>1</v>
      </c>
      <c r="J610" s="74">
        <f>IF($D610="무료",0,IF($D610="메뉴",IFERROR(VLOOKUP($E610,'④ 메뉴 원가표'!$C$6:$F$89,4,FALSE),0),IF($D610="프렙",IFERROR(VLOOKUP($E610,'② 프렙 원가'!$B$6:$F$16,5,FALSE),0),IFERROR(VLOOKUP($E610,'① 식재료 단가'!$B$6:$G$123,6,FALSE),0))))</f>
      </c>
      <c r="K610" s="75">
        <f>IF($D610="메뉴",ROUND($G610*$J610,1),IF($I610&gt;0,ROUND($G610/$I610*$J610,1),0))</f>
      </c>
      <c r="L610" s="54" t="s">
        <v>66</v>
      </c>
    </row>
    <row r="611" spans="1:12" x14ac:dyDescent="0.25">
      <c r="A611" s="70" t="s">
        <v>88</v>
      </c>
      <c r="B611" s="31" t="s">
        <v>189</v>
      </c>
      <c r="C611" s="53">
        <v>6</v>
      </c>
      <c r="D611" s="82" t="s">
        <v>454</v>
      </c>
      <c r="E611" s="44" t="s">
        <v>178</v>
      </c>
      <c r="F611" s="70" t="s">
        <v>468</v>
      </c>
      <c r="G611" s="72">
        <v>1</v>
      </c>
      <c r="H611" s="53" t="s">
        <v>456</v>
      </c>
      <c r="I611" s="73">
        <v>1</v>
      </c>
      <c r="J611" s="74">
        <f>IF($D611="무료",0,IF($D611="메뉴",IFERROR(VLOOKUP($E611,'④ 메뉴 원가표'!$C$6:$F$89,4,FALSE),0),IF($D611="프렙",IFERROR(VLOOKUP($E611,'② 프렙 원가'!$B$6:$F$16,5,FALSE),0),IFERROR(VLOOKUP($E611,'① 식재료 단가'!$B$6:$G$123,6,FALSE),0))))</f>
      </c>
      <c r="K611" s="75">
        <f>IF($D611="메뉴",ROUND($G611*$J611,1),IF($I611&gt;0,ROUND($G611/$I611*$J611,1),0))</f>
      </c>
      <c r="L611" s="54" t="s">
        <v>66</v>
      </c>
    </row>
    <row r="612" spans="1:12" x14ac:dyDescent="0.25">
      <c r="A612" s="70" t="s">
        <v>88</v>
      </c>
      <c r="B612" s="31" t="s">
        <v>189</v>
      </c>
      <c r="C612" s="53">
        <v>7</v>
      </c>
      <c r="D612" s="76" t="s">
        <v>209</v>
      </c>
      <c r="E612" s="44" t="s">
        <v>407</v>
      </c>
      <c r="F612" s="70" t="s">
        <v>179</v>
      </c>
      <c r="G612" s="72">
        <v>1</v>
      </c>
      <c r="H612" s="53" t="s">
        <v>456</v>
      </c>
      <c r="I612" s="73">
        <v>1</v>
      </c>
      <c r="J612" s="74">
        <f>IF($D612="무료",0,IF($D612="메뉴",IFERROR(VLOOKUP($E612,'④ 메뉴 원가표'!$C$6:$F$89,4,FALSE),0),IF($D612="프렙",IFERROR(VLOOKUP($E612,'② 프렙 원가'!$B$6:$F$16,5,FALSE),0),IFERROR(VLOOKUP($E612,'① 식재료 단가'!$B$6:$G$123,6,FALSE),0))))</f>
      </c>
      <c r="K612" s="75">
        <f>IF($D612="메뉴",ROUND($G612*$J612,1),IF($I612&gt;0,ROUND($G612/$I612*$J612,1),0))</f>
      </c>
      <c r="L612" s="54" t="s">
        <v>66</v>
      </c>
    </row>
  </sheetData>
  <autoFilter ref="A5:L612"/>
  <mergeCells count="3">
    <mergeCell ref="A1:L1"/>
    <mergeCell ref="A2:L2"/>
    <mergeCell ref="A3:L3"/>
  </mergeCells>
  <dataValidations count="2">
    <dataValidation type="list" showErrorMessage="1" errorTitle="입력 오류" error="식재료 / 프렙 / 메뉴 / 무료 중에서 선택하세요." sqref="D10:D612">
      <formula1>"식재료,프렙,메뉴,무료"</formula1>
    </dataValidation>
    <dataValidation type="list" showErrorMessage="1" errorTitle="입력 오류" error="식재료 / 프렙 / 메뉴 / 무료 중에서 선택하세요." sqref="D6:D612">
      <formula1>"식재료,프렙,메뉴,무료"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3"/>
  <sheetViews>
    <sheetView workbookViewId="0" showGridLines="0">
      <pane ySplit="5" topLeftCell="A6" activePane="bottomLeft" state="frozen"/>
      <selection pane="bottomLeft"/>
    </sheetView>
  </sheetViews>
  <sheetFormatPr defaultRowHeight="19" outlineLevelRow="0" outlineLevelCol="0" x14ac:dyDescent="55" customHeight="1"/>
  <cols>
    <col min="1" max="1" width="6" customWidth="1"/>
    <col min="2" max="2" width="34" customWidth="1"/>
    <col min="3" max="3" width="14" customWidth="1"/>
    <col min="4" max="4" width="10" customWidth="1"/>
    <col min="5" max="5" width="8" customWidth="1"/>
    <col min="6" max="6" width="12" customWidth="1"/>
    <col min="7" max="7" width="13" customWidth="1"/>
    <col min="8" max="8" width="30" customWidth="1"/>
  </cols>
  <sheetData>
    <row r="1" ht="34" customHeight="1" spans="1:8" x14ac:dyDescent="0.25">
      <c r="A1" s="1" t="s">
        <v>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469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52" t="s">
        <v>470</v>
      </c>
      <c r="B3" s="52"/>
      <c r="C3" s="52"/>
      <c r="D3" s="52"/>
      <c r="E3" s="52"/>
      <c r="F3" s="52"/>
      <c r="G3" s="52"/>
      <c r="H3" s="52"/>
    </row>
    <row r="5" ht="26" customHeight="1" spans="1:8" x14ac:dyDescent="0.25">
      <c r="A5" s="30" t="s">
        <v>96</v>
      </c>
      <c r="B5" s="30" t="s">
        <v>471</v>
      </c>
      <c r="C5" s="30" t="s">
        <v>472</v>
      </c>
      <c r="D5" s="30" t="s">
        <v>473</v>
      </c>
      <c r="E5" s="30" t="s">
        <v>199</v>
      </c>
      <c r="F5" s="30" t="s">
        <v>474</v>
      </c>
      <c r="G5" s="30" t="s">
        <v>475</v>
      </c>
      <c r="H5" s="30" t="s">
        <v>203</v>
      </c>
    </row>
    <row r="6" spans="1:8" x14ac:dyDescent="0.25">
      <c r="A6" s="53">
        <v>1</v>
      </c>
      <c r="B6" s="44" t="s">
        <v>308</v>
      </c>
      <c r="C6" s="55">
        <v>15000</v>
      </c>
      <c r="D6" s="84">
        <v>20</v>
      </c>
      <c r="E6" s="53" t="s">
        <v>476</v>
      </c>
      <c r="F6" s="55">
        <v>20000</v>
      </c>
      <c r="G6" s="85">
        <f>IF(F6&gt;0,C6/F6,0)</f>
      </c>
      <c r="H6" s="86" t="s">
        <v>66</v>
      </c>
    </row>
    <row r="7" spans="1:8" x14ac:dyDescent="0.25">
      <c r="A7" s="63">
        <v>2</v>
      </c>
      <c r="B7" s="49" t="s">
        <v>365</v>
      </c>
      <c r="C7" s="55">
        <v>25000</v>
      </c>
      <c r="D7" s="84">
        <v>20</v>
      </c>
      <c r="E7" s="63" t="s">
        <v>476</v>
      </c>
      <c r="F7" s="55">
        <v>20000</v>
      </c>
      <c r="G7" s="85">
        <f>IF(F7&gt;0,C7/F7,0)</f>
      </c>
      <c r="H7" s="87" t="s">
        <v>66</v>
      </c>
    </row>
    <row r="8" spans="1:8" x14ac:dyDescent="0.25">
      <c r="A8" s="53">
        <v>3</v>
      </c>
      <c r="B8" s="44" t="s">
        <v>477</v>
      </c>
      <c r="C8" s="55">
        <v>62000</v>
      </c>
      <c r="D8" s="84">
        <v>20</v>
      </c>
      <c r="E8" s="53" t="s">
        <v>476</v>
      </c>
      <c r="F8" s="55">
        <v>20000</v>
      </c>
      <c r="G8" s="85">
        <f>IF(F8&gt;0,C8/F8,0)</f>
      </c>
      <c r="H8" s="86" t="s">
        <v>66</v>
      </c>
    </row>
    <row r="9" spans="1:8" x14ac:dyDescent="0.25">
      <c r="A9" s="63">
        <v>4</v>
      </c>
      <c r="B9" s="49" t="s">
        <v>279</v>
      </c>
      <c r="C9" s="55">
        <v>14000</v>
      </c>
      <c r="D9" s="84">
        <v>15</v>
      </c>
      <c r="E9" s="63" t="s">
        <v>476</v>
      </c>
      <c r="F9" s="55">
        <v>15000</v>
      </c>
      <c r="G9" s="85">
        <f>IF(F9&gt;0,C9/F9,0)</f>
      </c>
      <c r="H9" s="87" t="s">
        <v>66</v>
      </c>
    </row>
    <row r="10" spans="1:8" x14ac:dyDescent="0.25">
      <c r="A10" s="53">
        <v>5</v>
      </c>
      <c r="B10" s="44" t="s">
        <v>306</v>
      </c>
      <c r="C10" s="55">
        <v>35000</v>
      </c>
      <c r="D10" s="84">
        <v>20</v>
      </c>
      <c r="E10" s="53" t="s">
        <v>476</v>
      </c>
      <c r="F10" s="55">
        <v>20000</v>
      </c>
      <c r="G10" s="85">
        <f>IF(F10&gt;0,C10/F10,0)</f>
      </c>
      <c r="H10" s="86" t="s">
        <v>66</v>
      </c>
    </row>
    <row r="11" spans="1:8" x14ac:dyDescent="0.25">
      <c r="A11" s="63">
        <v>6</v>
      </c>
      <c r="B11" s="49" t="s">
        <v>384</v>
      </c>
      <c r="C11" s="55">
        <v>8300</v>
      </c>
      <c r="D11" s="84">
        <v>2</v>
      </c>
      <c r="E11" s="63" t="s">
        <v>476</v>
      </c>
      <c r="F11" s="55">
        <v>2000</v>
      </c>
      <c r="G11" s="85">
        <f>IF(F11&gt;0,C11/F11,0)</f>
      </c>
      <c r="H11" s="87" t="s">
        <v>66</v>
      </c>
    </row>
    <row r="12" spans="1:8" x14ac:dyDescent="0.25">
      <c r="A12" s="53">
        <v>7</v>
      </c>
      <c r="B12" s="44" t="s">
        <v>234</v>
      </c>
      <c r="C12" s="55">
        <v>10000</v>
      </c>
      <c r="D12" s="84">
        <v>1</v>
      </c>
      <c r="E12" s="53" t="s">
        <v>476</v>
      </c>
      <c r="F12" s="55">
        <v>1000</v>
      </c>
      <c r="G12" s="85">
        <f>IF(F12&gt;0,C12/F12,0)</f>
      </c>
      <c r="H12" s="86" t="s">
        <v>66</v>
      </c>
    </row>
    <row r="13" spans="1:8" x14ac:dyDescent="0.25">
      <c r="A13" s="63">
        <v>8</v>
      </c>
      <c r="B13" s="49" t="s">
        <v>300</v>
      </c>
      <c r="C13" s="55">
        <v>7850</v>
      </c>
      <c r="D13" s="84">
        <v>1</v>
      </c>
      <c r="E13" s="63" t="s">
        <v>476</v>
      </c>
      <c r="F13" s="55">
        <v>1000</v>
      </c>
      <c r="G13" s="85">
        <f>IF(F13&gt;0,C13/F13,0)</f>
      </c>
      <c r="H13" s="87" t="s">
        <v>66</v>
      </c>
    </row>
    <row r="14" spans="1:8" x14ac:dyDescent="0.25">
      <c r="A14" s="53">
        <v>9</v>
      </c>
      <c r="B14" s="44" t="s">
        <v>248</v>
      </c>
      <c r="C14" s="55">
        <v>14000</v>
      </c>
      <c r="D14" s="84">
        <v>1</v>
      </c>
      <c r="E14" s="53" t="s">
        <v>476</v>
      </c>
      <c r="F14" s="55">
        <v>1000</v>
      </c>
      <c r="G14" s="85">
        <f>IF(F14&gt;0,C14/F14,0)</f>
      </c>
      <c r="H14" s="86" t="s">
        <v>66</v>
      </c>
    </row>
    <row r="15" spans="1:8" x14ac:dyDescent="0.25">
      <c r="A15" s="63">
        <v>10</v>
      </c>
      <c r="B15" s="49" t="s">
        <v>246</v>
      </c>
      <c r="C15" s="55">
        <v>18000</v>
      </c>
      <c r="D15" s="84">
        <v>1</v>
      </c>
      <c r="E15" s="63" t="s">
        <v>476</v>
      </c>
      <c r="F15" s="55">
        <v>1000</v>
      </c>
      <c r="G15" s="85">
        <f>IF(F15&gt;0,C15/F15,0)</f>
      </c>
      <c r="H15" s="87" t="s">
        <v>66</v>
      </c>
    </row>
    <row r="16" spans="1:8" x14ac:dyDescent="0.25">
      <c r="A16" s="53">
        <v>11</v>
      </c>
      <c r="B16" s="44" t="s">
        <v>273</v>
      </c>
      <c r="C16" s="55">
        <v>17000</v>
      </c>
      <c r="D16" s="84">
        <v>1</v>
      </c>
      <c r="E16" s="53" t="s">
        <v>476</v>
      </c>
      <c r="F16" s="55">
        <v>1000</v>
      </c>
      <c r="G16" s="85">
        <f>IF(F16&gt;0,C16/F16,0)</f>
      </c>
      <c r="H16" s="86" t="s">
        <v>66</v>
      </c>
    </row>
    <row r="17" spans="1:8" x14ac:dyDescent="0.25">
      <c r="A17" s="63">
        <v>12</v>
      </c>
      <c r="B17" s="49" t="s">
        <v>478</v>
      </c>
      <c r="C17" s="55">
        <v>5000</v>
      </c>
      <c r="D17" s="84">
        <v>0.5</v>
      </c>
      <c r="E17" s="63" t="s">
        <v>476</v>
      </c>
      <c r="F17" s="55">
        <v>500</v>
      </c>
      <c r="G17" s="85">
        <f>IF(F17&gt;0,C17/F17,0)</f>
      </c>
      <c r="H17" s="87" t="s">
        <v>66</v>
      </c>
    </row>
    <row r="18" spans="1:8" x14ac:dyDescent="0.25">
      <c r="A18" s="53">
        <v>13</v>
      </c>
      <c r="B18" s="44" t="s">
        <v>268</v>
      </c>
      <c r="C18" s="55">
        <v>4500</v>
      </c>
      <c r="D18" s="84">
        <v>0.375</v>
      </c>
      <c r="E18" s="53" t="s">
        <v>476</v>
      </c>
      <c r="F18" s="55">
        <v>375</v>
      </c>
      <c r="G18" s="85">
        <f>IF(F18&gt;0,C18/F18,0)</f>
      </c>
      <c r="H18" s="86" t="s">
        <v>66</v>
      </c>
    </row>
    <row r="19" spans="1:8" x14ac:dyDescent="0.25">
      <c r="A19" s="63">
        <v>14</v>
      </c>
      <c r="B19" s="49" t="s">
        <v>245</v>
      </c>
      <c r="C19" s="55">
        <v>1050</v>
      </c>
      <c r="D19" s="84">
        <v>0.4</v>
      </c>
      <c r="E19" s="63" t="s">
        <v>476</v>
      </c>
      <c r="F19" s="55">
        <v>400</v>
      </c>
      <c r="G19" s="85">
        <f>IF(F19&gt;0,C19/F19,0)</f>
      </c>
      <c r="H19" s="87" t="s">
        <v>66</v>
      </c>
    </row>
    <row r="20" spans="1:8" x14ac:dyDescent="0.25">
      <c r="A20" s="53">
        <v>15</v>
      </c>
      <c r="B20" s="44" t="s">
        <v>479</v>
      </c>
      <c r="C20" s="55">
        <v>65000</v>
      </c>
      <c r="D20" s="84">
        <v>15</v>
      </c>
      <c r="E20" s="53" t="s">
        <v>476</v>
      </c>
      <c r="F20" s="55">
        <v>15000</v>
      </c>
      <c r="G20" s="85">
        <f>IF(F20&gt;0,C20/F20,0)</f>
      </c>
      <c r="H20" s="86" t="s">
        <v>66</v>
      </c>
    </row>
    <row r="21" spans="1:8" x14ac:dyDescent="0.25">
      <c r="A21" s="63">
        <v>16</v>
      </c>
      <c r="B21" s="49" t="s">
        <v>440</v>
      </c>
      <c r="C21" s="55">
        <v>7250</v>
      </c>
      <c r="D21" s="84">
        <v>3</v>
      </c>
      <c r="E21" s="63" t="s">
        <v>476</v>
      </c>
      <c r="F21" s="55">
        <v>3000</v>
      </c>
      <c r="G21" s="85">
        <f>IF(F21&gt;0,C21/F21,0)</f>
      </c>
      <c r="H21" s="87" t="s">
        <v>66</v>
      </c>
    </row>
    <row r="22" spans="1:8" x14ac:dyDescent="0.25">
      <c r="A22" s="53">
        <v>17</v>
      </c>
      <c r="B22" s="44" t="s">
        <v>447</v>
      </c>
      <c r="C22" s="55">
        <v>4000</v>
      </c>
      <c r="D22" s="84">
        <v>1</v>
      </c>
      <c r="E22" s="53" t="s">
        <v>476</v>
      </c>
      <c r="F22" s="55">
        <v>1000</v>
      </c>
      <c r="G22" s="85">
        <f>IF(F22&gt;0,C22/F22,0)</f>
      </c>
      <c r="H22" s="86" t="s">
        <v>66</v>
      </c>
    </row>
    <row r="23" spans="1:8" x14ac:dyDescent="0.25">
      <c r="A23" s="63">
        <v>18</v>
      </c>
      <c r="B23" s="49" t="s">
        <v>393</v>
      </c>
      <c r="C23" s="55">
        <v>8700</v>
      </c>
      <c r="D23" s="84">
        <v>1</v>
      </c>
      <c r="E23" s="63" t="s">
        <v>476</v>
      </c>
      <c r="F23" s="55">
        <v>1000</v>
      </c>
      <c r="G23" s="85">
        <f>IF(F23&gt;0,C23/F23,0)</f>
      </c>
      <c r="H23" s="87" t="s">
        <v>66</v>
      </c>
    </row>
    <row r="24" spans="1:8" x14ac:dyDescent="0.25">
      <c r="A24" s="53">
        <v>19</v>
      </c>
      <c r="B24" s="44" t="s">
        <v>236</v>
      </c>
      <c r="C24" s="55">
        <v>2000</v>
      </c>
      <c r="D24" s="84">
        <v>0.4</v>
      </c>
      <c r="E24" s="53" t="s">
        <v>476</v>
      </c>
      <c r="F24" s="55">
        <v>400</v>
      </c>
      <c r="G24" s="85">
        <f>IF(F24&gt;0,C24/F24,0)</f>
      </c>
      <c r="H24" s="86" t="s">
        <v>66</v>
      </c>
    </row>
    <row r="25" spans="1:8" x14ac:dyDescent="0.25">
      <c r="A25" s="63">
        <v>20</v>
      </c>
      <c r="B25" s="49" t="s">
        <v>371</v>
      </c>
      <c r="C25" s="55">
        <v>1250</v>
      </c>
      <c r="D25" s="84">
        <v>0.5</v>
      </c>
      <c r="E25" s="63" t="s">
        <v>476</v>
      </c>
      <c r="F25" s="55">
        <v>500</v>
      </c>
      <c r="G25" s="85">
        <f>IF(F25&gt;0,C25/F25,0)</f>
      </c>
      <c r="H25" s="87" t="s">
        <v>66</v>
      </c>
    </row>
    <row r="26" spans="1:8" x14ac:dyDescent="0.25">
      <c r="A26" s="53">
        <v>21</v>
      </c>
      <c r="B26" s="44" t="s">
        <v>480</v>
      </c>
      <c r="C26" s="55">
        <v>0</v>
      </c>
      <c r="D26" s="84">
        <v>3</v>
      </c>
      <c r="E26" s="53" t="s">
        <v>476</v>
      </c>
      <c r="F26" s="55">
        <v>3000</v>
      </c>
      <c r="G26" s="85">
        <f>IF(F26&gt;0,C26/F26,0)</f>
      </c>
      <c r="H26" s="86" t="s">
        <v>481</v>
      </c>
    </row>
    <row r="27" spans="1:8" x14ac:dyDescent="0.25">
      <c r="A27" s="63">
        <v>22</v>
      </c>
      <c r="B27" s="49" t="s">
        <v>251</v>
      </c>
      <c r="C27" s="55">
        <v>6000</v>
      </c>
      <c r="D27" s="84">
        <v>2.5</v>
      </c>
      <c r="E27" s="63" t="s">
        <v>476</v>
      </c>
      <c r="F27" s="55">
        <v>2500</v>
      </c>
      <c r="G27" s="85">
        <f>IF(F27&gt;0,C27/F27,0)</f>
      </c>
      <c r="H27" s="87" t="s">
        <v>66</v>
      </c>
    </row>
    <row r="28" spans="1:8" x14ac:dyDescent="0.25">
      <c r="A28" s="53">
        <v>23</v>
      </c>
      <c r="B28" s="44" t="s">
        <v>380</v>
      </c>
      <c r="C28" s="55">
        <v>6650</v>
      </c>
      <c r="D28" s="84">
        <v>3.2</v>
      </c>
      <c r="E28" s="53" t="s">
        <v>476</v>
      </c>
      <c r="F28" s="55">
        <v>3200</v>
      </c>
      <c r="G28" s="85">
        <f>IF(F28&gt;0,C28/F28,0)</f>
      </c>
      <c r="H28" s="86" t="s">
        <v>66</v>
      </c>
    </row>
    <row r="29" spans="1:8" x14ac:dyDescent="0.25">
      <c r="A29" s="63">
        <v>24</v>
      </c>
      <c r="B29" s="49" t="s">
        <v>429</v>
      </c>
      <c r="C29" s="55">
        <v>12000</v>
      </c>
      <c r="D29" s="84">
        <v>2</v>
      </c>
      <c r="E29" s="63" t="s">
        <v>476</v>
      </c>
      <c r="F29" s="55">
        <v>2000</v>
      </c>
      <c r="G29" s="85">
        <f>IF(F29&gt;0,C29/F29,0)</f>
      </c>
      <c r="H29" s="87" t="s">
        <v>66</v>
      </c>
    </row>
    <row r="30" spans="1:8" x14ac:dyDescent="0.25">
      <c r="A30" s="53">
        <v>25</v>
      </c>
      <c r="B30" s="44" t="s">
        <v>379</v>
      </c>
      <c r="C30" s="55">
        <v>18000</v>
      </c>
      <c r="D30" s="84">
        <v>5.9</v>
      </c>
      <c r="E30" s="53" t="s">
        <v>476</v>
      </c>
      <c r="F30" s="55">
        <v>5900</v>
      </c>
      <c r="G30" s="85">
        <f>IF(F30&gt;0,C30/F30,0)</f>
      </c>
      <c r="H30" s="86" t="s">
        <v>66</v>
      </c>
    </row>
    <row r="31" spans="1:8" x14ac:dyDescent="0.25">
      <c r="A31" s="63">
        <v>26</v>
      </c>
      <c r="B31" s="49" t="s">
        <v>345</v>
      </c>
      <c r="C31" s="55">
        <v>9000</v>
      </c>
      <c r="D31" s="84">
        <v>0.4</v>
      </c>
      <c r="E31" s="63" t="s">
        <v>476</v>
      </c>
      <c r="F31" s="55">
        <v>400</v>
      </c>
      <c r="G31" s="85">
        <f>IF(F31&gt;0,C31/F31,0)</f>
      </c>
      <c r="H31" s="87" t="s">
        <v>66</v>
      </c>
    </row>
    <row r="32" spans="1:8" x14ac:dyDescent="0.25">
      <c r="A32" s="53">
        <v>27</v>
      </c>
      <c r="B32" s="44" t="s">
        <v>391</v>
      </c>
      <c r="C32" s="55">
        <v>9000</v>
      </c>
      <c r="D32" s="84">
        <v>0.4</v>
      </c>
      <c r="E32" s="53" t="s">
        <v>476</v>
      </c>
      <c r="F32" s="55">
        <v>400</v>
      </c>
      <c r="G32" s="85">
        <f>IF(F32&gt;0,C32/F32,0)</f>
      </c>
      <c r="H32" s="86" t="s">
        <v>66</v>
      </c>
    </row>
    <row r="33" spans="1:8" x14ac:dyDescent="0.25">
      <c r="A33" s="63">
        <v>28</v>
      </c>
      <c r="B33" s="49" t="s">
        <v>341</v>
      </c>
      <c r="C33" s="55">
        <v>15200</v>
      </c>
      <c r="D33" s="84">
        <v>0.9</v>
      </c>
      <c r="E33" s="63" t="s">
        <v>476</v>
      </c>
      <c r="F33" s="55">
        <v>900</v>
      </c>
      <c r="G33" s="85">
        <f>IF(F33&gt;0,C33/F33,0)</f>
      </c>
      <c r="H33" s="87" t="s">
        <v>66</v>
      </c>
    </row>
    <row r="34" spans="1:8" x14ac:dyDescent="0.25">
      <c r="A34" s="53">
        <v>29</v>
      </c>
      <c r="B34" s="44" t="s">
        <v>291</v>
      </c>
      <c r="C34" s="55">
        <v>15000</v>
      </c>
      <c r="D34" s="84">
        <v>0.9</v>
      </c>
      <c r="E34" s="53" t="s">
        <v>476</v>
      </c>
      <c r="F34" s="55">
        <v>900</v>
      </c>
      <c r="G34" s="85">
        <f>IF(F34&gt;0,C34/F34,0)</f>
      </c>
      <c r="H34" s="86" t="s">
        <v>66</v>
      </c>
    </row>
    <row r="35" spans="1:8" x14ac:dyDescent="0.25">
      <c r="A35" s="63">
        <v>30</v>
      </c>
      <c r="B35" s="49" t="s">
        <v>294</v>
      </c>
      <c r="C35" s="55">
        <v>4750</v>
      </c>
      <c r="D35" s="84">
        <v>0.6</v>
      </c>
      <c r="E35" s="63" t="s">
        <v>476</v>
      </c>
      <c r="F35" s="55">
        <v>600</v>
      </c>
      <c r="G35" s="85">
        <f>IF(F35&gt;0,C35/F35,0)</f>
      </c>
      <c r="H35" s="87" t="s">
        <v>66</v>
      </c>
    </row>
    <row r="36" spans="1:8" x14ac:dyDescent="0.25">
      <c r="A36" s="53">
        <v>31</v>
      </c>
      <c r="B36" s="44" t="s">
        <v>378</v>
      </c>
      <c r="C36" s="55">
        <v>5500</v>
      </c>
      <c r="D36" s="84">
        <v>1.5</v>
      </c>
      <c r="E36" s="53" t="s">
        <v>476</v>
      </c>
      <c r="F36" s="55">
        <v>1800</v>
      </c>
      <c r="G36" s="85">
        <f>IF(F36&gt;0,C36/F36,0)</f>
      </c>
      <c r="H36" s="86" t="s">
        <v>66</v>
      </c>
    </row>
    <row r="37" spans="1:8" x14ac:dyDescent="0.25">
      <c r="A37" s="63">
        <v>32</v>
      </c>
      <c r="B37" s="49" t="s">
        <v>216</v>
      </c>
      <c r="C37" s="55">
        <v>15000</v>
      </c>
      <c r="D37" s="84">
        <v>15</v>
      </c>
      <c r="E37" s="63" t="s">
        <v>476</v>
      </c>
      <c r="F37" s="55">
        <v>15000</v>
      </c>
      <c r="G37" s="85">
        <f>IF(F37&gt;0,C37/F37,0)</f>
      </c>
      <c r="H37" s="87" t="s">
        <v>66</v>
      </c>
    </row>
    <row r="38" spans="1:8" x14ac:dyDescent="0.25">
      <c r="A38" s="53">
        <v>33</v>
      </c>
      <c r="B38" s="44" t="s">
        <v>217</v>
      </c>
      <c r="C38" s="55">
        <v>20000</v>
      </c>
      <c r="D38" s="84">
        <v>15</v>
      </c>
      <c r="E38" s="53" t="s">
        <v>476</v>
      </c>
      <c r="F38" s="55">
        <v>15000</v>
      </c>
      <c r="G38" s="85">
        <f>IF(F38&gt;0,C38/F38,0)</f>
      </c>
      <c r="H38" s="86" t="s">
        <v>66</v>
      </c>
    </row>
    <row r="39" spans="1:8" x14ac:dyDescent="0.25">
      <c r="A39" s="63">
        <v>34</v>
      </c>
      <c r="B39" s="49" t="s">
        <v>482</v>
      </c>
      <c r="C39" s="55">
        <v>196000</v>
      </c>
      <c r="D39" s="84">
        <v>25</v>
      </c>
      <c r="E39" s="63" t="s">
        <v>476</v>
      </c>
      <c r="F39" s="55">
        <v>25000</v>
      </c>
      <c r="G39" s="85">
        <f>IF(F39&gt;0,C39/F39,0)</f>
      </c>
      <c r="H39" s="87" t="s">
        <v>66</v>
      </c>
    </row>
    <row r="40" spans="1:8" x14ac:dyDescent="0.25">
      <c r="A40" s="53">
        <v>35</v>
      </c>
      <c r="B40" s="44" t="s">
        <v>287</v>
      </c>
      <c r="C40" s="55">
        <v>3500</v>
      </c>
      <c r="D40" s="84">
        <v>1.8</v>
      </c>
      <c r="E40" s="53" t="s">
        <v>476</v>
      </c>
      <c r="F40" s="55">
        <v>1800</v>
      </c>
      <c r="G40" s="85">
        <f>IF(F40&gt;0,C40/F40,0)</f>
      </c>
      <c r="H40" s="86" t="s">
        <v>66</v>
      </c>
    </row>
    <row r="41" spans="1:8" x14ac:dyDescent="0.25">
      <c r="A41" s="63">
        <v>36</v>
      </c>
      <c r="B41" s="49" t="s">
        <v>219</v>
      </c>
      <c r="C41" s="55">
        <v>14500</v>
      </c>
      <c r="D41" s="84">
        <v>13.1</v>
      </c>
      <c r="E41" s="63" t="s">
        <v>476</v>
      </c>
      <c r="F41" s="55">
        <v>13100</v>
      </c>
      <c r="G41" s="85">
        <f>IF(F41&gt;0,C41/F41,0)</f>
      </c>
      <c r="H41" s="87" t="s">
        <v>66</v>
      </c>
    </row>
    <row r="42" spans="1:8" x14ac:dyDescent="0.25">
      <c r="A42" s="53">
        <v>37</v>
      </c>
      <c r="B42" s="44" t="s">
        <v>483</v>
      </c>
      <c r="C42" s="55">
        <v>6000</v>
      </c>
      <c r="D42" s="84">
        <v>13</v>
      </c>
      <c r="E42" s="53" t="s">
        <v>476</v>
      </c>
      <c r="F42" s="55">
        <v>13000</v>
      </c>
      <c r="G42" s="85">
        <f>IF(F42&gt;0,C42/F42,0)</f>
      </c>
      <c r="H42" s="86" t="s">
        <v>66</v>
      </c>
    </row>
    <row r="43" spans="1:8" x14ac:dyDescent="0.25">
      <c r="A43" s="63">
        <v>38</v>
      </c>
      <c r="B43" s="49" t="s">
        <v>327</v>
      </c>
      <c r="C43" s="55">
        <v>4500</v>
      </c>
      <c r="D43" s="84">
        <v>0.2</v>
      </c>
      <c r="E43" s="63" t="s">
        <v>476</v>
      </c>
      <c r="F43" s="55">
        <v>200</v>
      </c>
      <c r="G43" s="85">
        <f>IF(F43&gt;0,C43/F43,0)</f>
      </c>
      <c r="H43" s="87" t="s">
        <v>66</v>
      </c>
    </row>
    <row r="44" spans="1:8" x14ac:dyDescent="0.25">
      <c r="A44" s="53">
        <v>39</v>
      </c>
      <c r="B44" s="44" t="s">
        <v>484</v>
      </c>
      <c r="C44" s="55">
        <v>157500</v>
      </c>
      <c r="D44" s="84">
        <v>10.5</v>
      </c>
      <c r="E44" s="53" t="s">
        <v>476</v>
      </c>
      <c r="F44" s="55">
        <v>10500</v>
      </c>
      <c r="G44" s="85">
        <f>IF(F44&gt;0,C44/F44,0)</f>
      </c>
      <c r="H44" s="86" t="s">
        <v>66</v>
      </c>
    </row>
    <row r="45" spans="1:8" x14ac:dyDescent="0.25">
      <c r="A45" s="63">
        <v>40</v>
      </c>
      <c r="B45" s="49" t="s">
        <v>446</v>
      </c>
      <c r="C45" s="55">
        <v>17000</v>
      </c>
      <c r="D45" s="84">
        <v>0.9</v>
      </c>
      <c r="E45" s="63" t="s">
        <v>476</v>
      </c>
      <c r="F45" s="55">
        <v>900</v>
      </c>
      <c r="G45" s="85">
        <f>IF(F45&gt;0,C45/F45,0)</f>
      </c>
      <c r="H45" s="87" t="s">
        <v>66</v>
      </c>
    </row>
    <row r="46" spans="1:8" x14ac:dyDescent="0.25">
      <c r="A46" s="53">
        <v>41</v>
      </c>
      <c r="B46" s="44" t="s">
        <v>382</v>
      </c>
      <c r="C46" s="55">
        <v>3000</v>
      </c>
      <c r="D46" s="84">
        <v>0.9</v>
      </c>
      <c r="E46" s="53" t="s">
        <v>476</v>
      </c>
      <c r="F46" s="55">
        <v>900</v>
      </c>
      <c r="G46" s="85">
        <f>IF(F46&gt;0,C46/F46,0)</f>
      </c>
      <c r="H46" s="86" t="s">
        <v>66</v>
      </c>
    </row>
    <row r="47" spans="1:8" x14ac:dyDescent="0.25">
      <c r="A47" s="63">
        <v>42</v>
      </c>
      <c r="B47" s="49" t="s">
        <v>275</v>
      </c>
      <c r="C47" s="55">
        <v>4500</v>
      </c>
      <c r="D47" s="84">
        <v>0.2</v>
      </c>
      <c r="E47" s="63" t="s">
        <v>476</v>
      </c>
      <c r="F47" s="55">
        <v>200</v>
      </c>
      <c r="G47" s="85">
        <f>IF(F47&gt;0,C47/F47,0)</f>
      </c>
      <c r="H47" s="87" t="s">
        <v>66</v>
      </c>
    </row>
    <row r="48" spans="1:8" x14ac:dyDescent="0.25">
      <c r="A48" s="53">
        <v>43</v>
      </c>
      <c r="B48" s="44" t="s">
        <v>415</v>
      </c>
      <c r="C48" s="55">
        <v>9500</v>
      </c>
      <c r="D48" s="84">
        <v>1</v>
      </c>
      <c r="E48" s="53" t="s">
        <v>476</v>
      </c>
      <c r="F48" s="55">
        <v>1000</v>
      </c>
      <c r="G48" s="85">
        <f>IF(F48&gt;0,C48/F48,0)</f>
      </c>
      <c r="H48" s="86" t="s">
        <v>66</v>
      </c>
    </row>
    <row r="49" spans="1:8" x14ac:dyDescent="0.25">
      <c r="A49" s="63">
        <v>44</v>
      </c>
      <c r="B49" s="49" t="s">
        <v>301</v>
      </c>
      <c r="C49" s="55">
        <v>3000</v>
      </c>
      <c r="D49" s="84">
        <v>0.2</v>
      </c>
      <c r="E49" s="63" t="s">
        <v>476</v>
      </c>
      <c r="F49" s="55">
        <v>200</v>
      </c>
      <c r="G49" s="85">
        <f>IF(F49&gt;0,C49/F49,0)</f>
      </c>
      <c r="H49" s="87" t="s">
        <v>66</v>
      </c>
    </row>
    <row r="50" spans="1:8" x14ac:dyDescent="0.25">
      <c r="A50" s="53">
        <v>45</v>
      </c>
      <c r="B50" s="44" t="s">
        <v>485</v>
      </c>
      <c r="C50" s="55">
        <v>2500</v>
      </c>
      <c r="D50" s="84">
        <v>0.8</v>
      </c>
      <c r="E50" s="53" t="s">
        <v>476</v>
      </c>
      <c r="F50" s="55">
        <v>800</v>
      </c>
      <c r="G50" s="85">
        <f>IF(F50&gt;0,C50/F50,0)</f>
      </c>
      <c r="H50" s="86" t="s">
        <v>66</v>
      </c>
    </row>
    <row r="51" spans="1:8" x14ac:dyDescent="0.25">
      <c r="A51" s="63">
        <v>46</v>
      </c>
      <c r="B51" s="49" t="s">
        <v>486</v>
      </c>
      <c r="C51" s="55">
        <v>2800</v>
      </c>
      <c r="D51" s="84">
        <v>0.8</v>
      </c>
      <c r="E51" s="63" t="s">
        <v>476</v>
      </c>
      <c r="F51" s="55">
        <v>800</v>
      </c>
      <c r="G51" s="85">
        <f>IF(F51&gt;0,C51/F51,0)</f>
      </c>
      <c r="H51" s="87" t="s">
        <v>66</v>
      </c>
    </row>
    <row r="52" spans="1:8" x14ac:dyDescent="0.25">
      <c r="A52" s="53">
        <v>47</v>
      </c>
      <c r="B52" s="44" t="s">
        <v>212</v>
      </c>
      <c r="C52" s="55">
        <v>29000</v>
      </c>
      <c r="D52" s="84">
        <v>1.6</v>
      </c>
      <c r="E52" s="53" t="s">
        <v>476</v>
      </c>
      <c r="F52" s="55">
        <v>1600</v>
      </c>
      <c r="G52" s="85">
        <f>IF(F52&gt;0,C52/F52,0)</f>
      </c>
      <c r="H52" s="86" t="s">
        <v>66</v>
      </c>
    </row>
    <row r="53" spans="1:8" x14ac:dyDescent="0.25">
      <c r="A53" s="63">
        <v>48</v>
      </c>
      <c r="B53" s="49" t="s">
        <v>283</v>
      </c>
      <c r="C53" s="55">
        <v>2500</v>
      </c>
      <c r="D53" s="84">
        <v>0.1</v>
      </c>
      <c r="E53" s="63" t="s">
        <v>476</v>
      </c>
      <c r="F53" s="55">
        <v>100</v>
      </c>
      <c r="G53" s="85">
        <f>IF(F53&gt;0,C53/F53,0)</f>
      </c>
      <c r="H53" s="87" t="s">
        <v>66</v>
      </c>
    </row>
    <row r="54" spans="1:8" x14ac:dyDescent="0.25">
      <c r="A54" s="53">
        <v>49</v>
      </c>
      <c r="B54" s="44" t="s">
        <v>441</v>
      </c>
      <c r="C54" s="55">
        <v>5200</v>
      </c>
      <c r="D54" s="84">
        <v>1</v>
      </c>
      <c r="E54" s="53" t="s">
        <v>476</v>
      </c>
      <c r="F54" s="55">
        <v>1000</v>
      </c>
      <c r="G54" s="85">
        <f>IF(F54&gt;0,C54/F54,0)</f>
      </c>
      <c r="H54" s="86" t="s">
        <v>66</v>
      </c>
    </row>
    <row r="55" spans="1:8" x14ac:dyDescent="0.25">
      <c r="A55" s="63">
        <v>50</v>
      </c>
      <c r="B55" s="49" t="s">
        <v>444</v>
      </c>
      <c r="C55" s="55">
        <v>5500</v>
      </c>
      <c r="D55" s="84">
        <v>1</v>
      </c>
      <c r="E55" s="63" t="s">
        <v>476</v>
      </c>
      <c r="F55" s="55">
        <v>1000</v>
      </c>
      <c r="G55" s="85">
        <f>IF(F55&gt;0,C55/F55,0)</f>
      </c>
      <c r="H55" s="87" t="s">
        <v>66</v>
      </c>
    </row>
    <row r="56" spans="1:8" x14ac:dyDescent="0.25">
      <c r="A56" s="53">
        <v>51</v>
      </c>
      <c r="B56" s="44" t="s">
        <v>410</v>
      </c>
      <c r="C56" s="55">
        <v>7500</v>
      </c>
      <c r="D56" s="84">
        <v>5</v>
      </c>
      <c r="E56" s="53" t="s">
        <v>476</v>
      </c>
      <c r="F56" s="55">
        <v>5000</v>
      </c>
      <c r="G56" s="85">
        <f>IF(F56&gt;0,C56/F56,0)</f>
      </c>
      <c r="H56" s="86" t="s">
        <v>66</v>
      </c>
    </row>
    <row r="57" spans="1:8" x14ac:dyDescent="0.25">
      <c r="A57" s="63">
        <v>52</v>
      </c>
      <c r="B57" s="49" t="s">
        <v>487</v>
      </c>
      <c r="C57" s="55">
        <v>2000</v>
      </c>
      <c r="D57" s="84">
        <v>0.05</v>
      </c>
      <c r="E57" s="63" t="s">
        <v>476</v>
      </c>
      <c r="F57" s="55">
        <v>50</v>
      </c>
      <c r="G57" s="85">
        <f>IF(F57&gt;0,C57/F57,0)</f>
      </c>
      <c r="H57" s="87" t="s">
        <v>66</v>
      </c>
    </row>
    <row r="58" spans="1:8" x14ac:dyDescent="0.25">
      <c r="A58" s="53">
        <v>53</v>
      </c>
      <c r="B58" s="44" t="s">
        <v>312</v>
      </c>
      <c r="C58" s="55">
        <v>3200</v>
      </c>
      <c r="D58" s="84">
        <v>1</v>
      </c>
      <c r="E58" s="53" t="s">
        <v>476</v>
      </c>
      <c r="F58" s="55">
        <v>1000</v>
      </c>
      <c r="G58" s="85">
        <f>IF(F58&gt;0,C58/F58,0)</f>
      </c>
      <c r="H58" s="86" t="s">
        <v>66</v>
      </c>
    </row>
    <row r="59" spans="1:8" x14ac:dyDescent="0.25">
      <c r="A59" s="63">
        <v>54</v>
      </c>
      <c r="B59" s="49" t="s">
        <v>314</v>
      </c>
      <c r="C59" s="55">
        <v>3000</v>
      </c>
      <c r="D59" s="84">
        <v>1</v>
      </c>
      <c r="E59" s="63" t="s">
        <v>476</v>
      </c>
      <c r="F59" s="55">
        <v>1000</v>
      </c>
      <c r="G59" s="85">
        <f>IF(F59&gt;0,C59/F59,0)</f>
      </c>
      <c r="H59" s="87" t="s">
        <v>66</v>
      </c>
    </row>
    <row r="60" spans="1:8" x14ac:dyDescent="0.25">
      <c r="A60" s="53">
        <v>55</v>
      </c>
      <c r="B60" s="44" t="s">
        <v>361</v>
      </c>
      <c r="C60" s="55">
        <v>2500</v>
      </c>
      <c r="D60" s="84">
        <v>0.2</v>
      </c>
      <c r="E60" s="53" t="s">
        <v>476</v>
      </c>
      <c r="F60" s="55">
        <v>200</v>
      </c>
      <c r="G60" s="85">
        <f>IF(F60&gt;0,C60/F60,0)</f>
      </c>
      <c r="H60" s="86" t="s">
        <v>66</v>
      </c>
    </row>
    <row r="61" spans="1:8" x14ac:dyDescent="0.25">
      <c r="A61" s="63">
        <v>56</v>
      </c>
      <c r="B61" s="49" t="s">
        <v>238</v>
      </c>
      <c r="C61" s="55">
        <v>49500</v>
      </c>
      <c r="D61" s="84">
        <v>18</v>
      </c>
      <c r="E61" s="63" t="s">
        <v>476</v>
      </c>
      <c r="F61" s="55">
        <v>18000</v>
      </c>
      <c r="G61" s="85">
        <f>IF(F61&gt;0,C61/F61,0)</f>
      </c>
      <c r="H61" s="87" t="s">
        <v>66</v>
      </c>
    </row>
    <row r="62" spans="1:8" x14ac:dyDescent="0.25">
      <c r="A62" s="53">
        <v>57</v>
      </c>
      <c r="B62" s="44" t="s">
        <v>488</v>
      </c>
      <c r="C62" s="55">
        <v>24000</v>
      </c>
      <c r="D62" s="84">
        <v>1</v>
      </c>
      <c r="E62" s="53" t="s">
        <v>476</v>
      </c>
      <c r="F62" s="55">
        <v>1000</v>
      </c>
      <c r="G62" s="85">
        <f>IF(F62&gt;0,C62/F62,0)</f>
      </c>
      <c r="H62" s="86" t="s">
        <v>66</v>
      </c>
    </row>
    <row r="63" spans="1:8" x14ac:dyDescent="0.25">
      <c r="A63" s="63">
        <v>58</v>
      </c>
      <c r="B63" s="49" t="s">
        <v>489</v>
      </c>
      <c r="C63" s="55">
        <v>21000</v>
      </c>
      <c r="D63" s="84">
        <v>0</v>
      </c>
      <c r="E63" s="63" t="s">
        <v>476</v>
      </c>
      <c r="F63" s="55">
        <v>0</v>
      </c>
      <c r="G63" s="85">
        <f>IF(F63&gt;0,C63/F63,0)</f>
      </c>
      <c r="H63" s="87" t="s">
        <v>490</v>
      </c>
    </row>
    <row r="64" spans="1:8" x14ac:dyDescent="0.25">
      <c r="A64" s="53">
        <v>59</v>
      </c>
      <c r="B64" s="44" t="s">
        <v>491</v>
      </c>
      <c r="C64" s="55">
        <v>19500</v>
      </c>
      <c r="D64" s="84">
        <v>0</v>
      </c>
      <c r="E64" s="53" t="s">
        <v>476</v>
      </c>
      <c r="F64" s="55">
        <v>0</v>
      </c>
      <c r="G64" s="85">
        <f>IF(F64&gt;0,C64/F64,0)</f>
      </c>
      <c r="H64" s="86" t="s">
        <v>490</v>
      </c>
    </row>
    <row r="65" spans="1:8" x14ac:dyDescent="0.25">
      <c r="A65" s="63">
        <v>60</v>
      </c>
      <c r="B65" s="49" t="s">
        <v>356</v>
      </c>
      <c r="C65" s="55">
        <v>900</v>
      </c>
      <c r="D65" s="84">
        <v>0.1</v>
      </c>
      <c r="E65" s="63" t="s">
        <v>476</v>
      </c>
      <c r="F65" s="55">
        <v>100</v>
      </c>
      <c r="G65" s="85">
        <f>IF(F65&gt;0,C65/F65,0)</f>
      </c>
      <c r="H65" s="87" t="s">
        <v>66</v>
      </c>
    </row>
    <row r="66" spans="1:8" x14ac:dyDescent="0.25">
      <c r="A66" s="53">
        <v>61</v>
      </c>
      <c r="B66" s="44" t="s">
        <v>205</v>
      </c>
      <c r="C66" s="55">
        <v>4400</v>
      </c>
      <c r="D66" s="84">
        <v>0.9</v>
      </c>
      <c r="E66" s="53" t="s">
        <v>476</v>
      </c>
      <c r="F66" s="55">
        <v>900</v>
      </c>
      <c r="G66" s="85">
        <f>IF(F66&gt;0,C66/F66,0)</f>
      </c>
      <c r="H66" s="86" t="s">
        <v>66</v>
      </c>
    </row>
    <row r="67" spans="1:8" x14ac:dyDescent="0.25">
      <c r="A67" s="63">
        <v>62</v>
      </c>
      <c r="B67" s="49" t="s">
        <v>492</v>
      </c>
      <c r="C67" s="55">
        <v>6000</v>
      </c>
      <c r="D67" s="84">
        <v>1.3</v>
      </c>
      <c r="E67" s="63" t="s">
        <v>476</v>
      </c>
      <c r="F67" s="55">
        <v>1300</v>
      </c>
      <c r="G67" s="85">
        <f>IF(F67&gt;0,C67/F67,0)</f>
      </c>
      <c r="H67" s="87" t="s">
        <v>66</v>
      </c>
    </row>
    <row r="68" spans="1:8" x14ac:dyDescent="0.25">
      <c r="A68" s="53">
        <v>63</v>
      </c>
      <c r="B68" s="44" t="s">
        <v>222</v>
      </c>
      <c r="C68" s="55">
        <v>4400</v>
      </c>
      <c r="D68" s="84">
        <v>1</v>
      </c>
      <c r="E68" s="53" t="s">
        <v>476</v>
      </c>
      <c r="F68" s="55">
        <v>1000</v>
      </c>
      <c r="G68" s="85">
        <f>IF(F68&gt;0,C68/F68,0)</f>
      </c>
      <c r="H68" s="86" t="s">
        <v>66</v>
      </c>
    </row>
    <row r="69" spans="1:8" x14ac:dyDescent="0.25">
      <c r="A69" s="63">
        <v>64</v>
      </c>
      <c r="B69" s="49" t="s">
        <v>353</v>
      </c>
      <c r="C69" s="55">
        <v>7200</v>
      </c>
      <c r="D69" s="84">
        <v>1</v>
      </c>
      <c r="E69" s="63" t="s">
        <v>476</v>
      </c>
      <c r="F69" s="55">
        <v>1000</v>
      </c>
      <c r="G69" s="85">
        <f>IF(F69&gt;0,C69/F69,0)</f>
      </c>
      <c r="H69" s="87" t="s">
        <v>66</v>
      </c>
    </row>
    <row r="70" spans="1:8" x14ac:dyDescent="0.25">
      <c r="A70" s="53">
        <v>65</v>
      </c>
      <c r="B70" s="44" t="s">
        <v>338</v>
      </c>
      <c r="C70" s="55">
        <v>5000</v>
      </c>
      <c r="D70" s="84">
        <v>1</v>
      </c>
      <c r="E70" s="53" t="s">
        <v>476</v>
      </c>
      <c r="F70" s="55">
        <v>1000</v>
      </c>
      <c r="G70" s="85">
        <f>IF(F70&gt;0,C70/F70,0)</f>
      </c>
      <c r="H70" s="86" t="s">
        <v>66</v>
      </c>
    </row>
    <row r="71" spans="1:8" x14ac:dyDescent="0.25">
      <c r="A71" s="63">
        <v>66</v>
      </c>
      <c r="B71" s="49" t="s">
        <v>493</v>
      </c>
      <c r="C71" s="55">
        <v>4400</v>
      </c>
      <c r="D71" s="84">
        <v>1</v>
      </c>
      <c r="E71" s="63" t="s">
        <v>476</v>
      </c>
      <c r="F71" s="55">
        <v>1000</v>
      </c>
      <c r="G71" s="85">
        <f>IF(F71&gt;0,C71/F71,0)</f>
      </c>
      <c r="H71" s="87" t="s">
        <v>66</v>
      </c>
    </row>
    <row r="72" spans="1:8" x14ac:dyDescent="0.25">
      <c r="A72" s="53">
        <v>67</v>
      </c>
      <c r="B72" s="44" t="s">
        <v>278</v>
      </c>
      <c r="C72" s="55">
        <v>270000</v>
      </c>
      <c r="D72" s="84">
        <v>18</v>
      </c>
      <c r="E72" s="53" t="s">
        <v>476</v>
      </c>
      <c r="F72" s="55">
        <v>18000</v>
      </c>
      <c r="G72" s="85">
        <f>IF(F72&gt;0,C72/F72,0)</f>
      </c>
      <c r="H72" s="86" t="s">
        <v>66</v>
      </c>
    </row>
    <row r="73" spans="1:8" x14ac:dyDescent="0.25">
      <c r="A73" s="63">
        <v>68</v>
      </c>
      <c r="B73" s="49" t="s">
        <v>494</v>
      </c>
      <c r="C73" s="55">
        <v>11800</v>
      </c>
      <c r="D73" s="84">
        <v>5</v>
      </c>
      <c r="E73" s="63" t="s">
        <v>476</v>
      </c>
      <c r="F73" s="55">
        <v>5000</v>
      </c>
      <c r="G73" s="85">
        <f>IF(F73&gt;0,C73/F73,0)</f>
      </c>
      <c r="H73" s="87" t="s">
        <v>66</v>
      </c>
    </row>
    <row r="74" spans="1:8" x14ac:dyDescent="0.25">
      <c r="A74" s="53">
        <v>69</v>
      </c>
      <c r="B74" s="44" t="s">
        <v>495</v>
      </c>
      <c r="C74" s="55">
        <v>75000</v>
      </c>
      <c r="D74" s="84">
        <v>10</v>
      </c>
      <c r="E74" s="53" t="s">
        <v>476</v>
      </c>
      <c r="F74" s="55">
        <v>10000</v>
      </c>
      <c r="G74" s="85">
        <f>IF(F74&gt;0,C74/F74,0)</f>
      </c>
      <c r="H74" s="86" t="s">
        <v>66</v>
      </c>
    </row>
    <row r="75" spans="1:8" x14ac:dyDescent="0.25">
      <c r="A75" s="63">
        <v>70</v>
      </c>
      <c r="B75" s="49" t="s">
        <v>364</v>
      </c>
      <c r="C75" s="55">
        <v>80000</v>
      </c>
      <c r="D75" s="84">
        <v>15</v>
      </c>
      <c r="E75" s="63" t="s">
        <v>476</v>
      </c>
      <c r="F75" s="55">
        <v>15000</v>
      </c>
      <c r="G75" s="85">
        <f>IF(F75&gt;0,C75/F75,0)</f>
      </c>
      <c r="H75" s="87" t="s">
        <v>66</v>
      </c>
    </row>
    <row r="76" spans="1:8" x14ac:dyDescent="0.25">
      <c r="A76" s="53">
        <v>71</v>
      </c>
      <c r="B76" s="44" t="s">
        <v>231</v>
      </c>
      <c r="C76" s="55">
        <v>294000</v>
      </c>
      <c r="D76" s="84">
        <v>22.8</v>
      </c>
      <c r="E76" s="53" t="s">
        <v>476</v>
      </c>
      <c r="F76" s="55">
        <v>22800</v>
      </c>
      <c r="G76" s="85">
        <f>IF(F76&gt;0,C76/F76,0)</f>
      </c>
      <c r="H76" s="86" t="s">
        <v>66</v>
      </c>
    </row>
    <row r="77" spans="1:8" x14ac:dyDescent="0.25">
      <c r="A77" s="63">
        <v>72</v>
      </c>
      <c r="B77" s="49" t="s">
        <v>496</v>
      </c>
      <c r="C77" s="55">
        <v>5300</v>
      </c>
      <c r="D77" s="84">
        <v>0.55</v>
      </c>
      <c r="E77" s="63" t="s">
        <v>476</v>
      </c>
      <c r="F77" s="55">
        <v>550</v>
      </c>
      <c r="G77" s="85">
        <f>IF(F77&gt;0,C77/F77,0)</f>
      </c>
      <c r="H77" s="87" t="s">
        <v>66</v>
      </c>
    </row>
    <row r="78" spans="1:8" x14ac:dyDescent="0.25">
      <c r="A78" s="53">
        <v>73</v>
      </c>
      <c r="B78" s="44" t="s">
        <v>497</v>
      </c>
      <c r="C78" s="55">
        <v>2125</v>
      </c>
      <c r="D78" s="84">
        <v>5</v>
      </c>
      <c r="E78" s="53" t="s">
        <v>476</v>
      </c>
      <c r="F78" s="55">
        <v>5000</v>
      </c>
      <c r="G78" s="85">
        <f>IF(F78&gt;0,C78/F78,0)</f>
      </c>
      <c r="H78" s="86" t="s">
        <v>66</v>
      </c>
    </row>
    <row r="79" spans="1:8" x14ac:dyDescent="0.25">
      <c r="A79" s="63">
        <v>74</v>
      </c>
      <c r="B79" s="49" t="s">
        <v>276</v>
      </c>
      <c r="C79" s="55">
        <v>2500</v>
      </c>
      <c r="D79" s="84">
        <v>0.2</v>
      </c>
      <c r="E79" s="63" t="s">
        <v>476</v>
      </c>
      <c r="F79" s="55">
        <v>200</v>
      </c>
      <c r="G79" s="85">
        <f>IF(F79&gt;0,C79/F79,0)</f>
      </c>
      <c r="H79" s="87" t="s">
        <v>66</v>
      </c>
    </row>
    <row r="80" spans="1:8" x14ac:dyDescent="0.25">
      <c r="A80" s="53">
        <v>75</v>
      </c>
      <c r="B80" s="44" t="s">
        <v>405</v>
      </c>
      <c r="C80" s="55">
        <v>0</v>
      </c>
      <c r="D80" s="84">
        <v>0</v>
      </c>
      <c r="E80" s="53" t="s">
        <v>476</v>
      </c>
      <c r="F80" s="55">
        <v>0</v>
      </c>
      <c r="G80" s="85">
        <f>IF(F80&gt;0,C80/F80,0)</f>
      </c>
      <c r="H80" s="86" t="s">
        <v>481</v>
      </c>
    </row>
    <row r="81" spans="1:8" x14ac:dyDescent="0.25">
      <c r="A81" s="63">
        <v>76</v>
      </c>
      <c r="B81" s="49" t="s">
        <v>498</v>
      </c>
      <c r="C81" s="55">
        <v>2500</v>
      </c>
      <c r="D81" s="84">
        <v>0.1</v>
      </c>
      <c r="E81" s="63" t="s">
        <v>476</v>
      </c>
      <c r="F81" s="55">
        <v>100</v>
      </c>
      <c r="G81" s="85">
        <f>IF(F81&gt;0,C81/F81,0)</f>
      </c>
      <c r="H81" s="87" t="s">
        <v>66</v>
      </c>
    </row>
    <row r="82" spans="1:8" x14ac:dyDescent="0.25">
      <c r="A82" s="53">
        <v>77</v>
      </c>
      <c r="B82" s="44" t="s">
        <v>330</v>
      </c>
      <c r="C82" s="55">
        <v>1500</v>
      </c>
      <c r="D82" s="84">
        <v>0.2</v>
      </c>
      <c r="E82" s="53" t="s">
        <v>476</v>
      </c>
      <c r="F82" s="55">
        <v>200</v>
      </c>
      <c r="G82" s="85">
        <f>IF(F82&gt;0,C82/F82,0)</f>
      </c>
      <c r="H82" s="86" t="s">
        <v>66</v>
      </c>
    </row>
    <row r="83" spans="1:8" x14ac:dyDescent="0.25">
      <c r="A83" s="63">
        <v>78</v>
      </c>
      <c r="B83" s="49" t="s">
        <v>499</v>
      </c>
      <c r="C83" s="55">
        <v>4500</v>
      </c>
      <c r="D83" s="84">
        <v>0.2</v>
      </c>
      <c r="E83" s="63" t="s">
        <v>476</v>
      </c>
      <c r="F83" s="55">
        <v>200</v>
      </c>
      <c r="G83" s="85">
        <f>IF(F83&gt;0,C83/F83,0)</f>
      </c>
      <c r="H83" s="87" t="s">
        <v>66</v>
      </c>
    </row>
    <row r="84" spans="1:8" x14ac:dyDescent="0.25">
      <c r="A84" s="53">
        <v>79</v>
      </c>
      <c r="B84" s="44" t="s">
        <v>500</v>
      </c>
      <c r="C84" s="55">
        <v>21000</v>
      </c>
      <c r="D84" s="84">
        <v>0</v>
      </c>
      <c r="E84" s="53" t="s">
        <v>476</v>
      </c>
      <c r="F84" s="55">
        <v>0</v>
      </c>
      <c r="G84" s="85">
        <f>IF(F84&gt;0,C84/F84,0)</f>
      </c>
      <c r="H84" s="86" t="s">
        <v>490</v>
      </c>
    </row>
    <row r="85" spans="1:8" x14ac:dyDescent="0.25">
      <c r="A85" s="63">
        <v>80</v>
      </c>
      <c r="B85" s="49" t="s">
        <v>215</v>
      </c>
      <c r="C85" s="55">
        <v>4250</v>
      </c>
      <c r="D85" s="84">
        <v>1</v>
      </c>
      <c r="E85" s="63" t="s">
        <v>476</v>
      </c>
      <c r="F85" s="55">
        <v>1000</v>
      </c>
      <c r="G85" s="85">
        <f>IF(F85&gt;0,C85/F85,0)</f>
      </c>
      <c r="H85" s="87" t="s">
        <v>66</v>
      </c>
    </row>
    <row r="86" spans="1:8" x14ac:dyDescent="0.25">
      <c r="A86" s="53">
        <v>81</v>
      </c>
      <c r="B86" s="44" t="s">
        <v>501</v>
      </c>
      <c r="C86" s="55">
        <v>4200</v>
      </c>
      <c r="D86" s="84">
        <v>1</v>
      </c>
      <c r="E86" s="53" t="s">
        <v>476</v>
      </c>
      <c r="F86" s="55">
        <v>1000</v>
      </c>
      <c r="G86" s="85">
        <f>IF(F86&gt;0,C86/F86,0)</f>
      </c>
      <c r="H86" s="86" t="s">
        <v>66</v>
      </c>
    </row>
    <row r="87" spans="1:8" x14ac:dyDescent="0.25">
      <c r="A87" s="63">
        <v>82</v>
      </c>
      <c r="B87" s="49" t="s">
        <v>228</v>
      </c>
      <c r="C87" s="55">
        <v>1650</v>
      </c>
      <c r="D87" s="84">
        <v>1</v>
      </c>
      <c r="E87" s="63" t="s">
        <v>476</v>
      </c>
      <c r="F87" s="55">
        <v>1000</v>
      </c>
      <c r="G87" s="85">
        <f>IF(F87&gt;0,C87/F87,0)</f>
      </c>
      <c r="H87" s="87" t="s">
        <v>66</v>
      </c>
    </row>
    <row r="88" spans="1:8" x14ac:dyDescent="0.25">
      <c r="A88" s="53">
        <v>83</v>
      </c>
      <c r="B88" s="44" t="s">
        <v>359</v>
      </c>
      <c r="C88" s="55">
        <v>22000</v>
      </c>
      <c r="D88" s="84">
        <v>3.3</v>
      </c>
      <c r="E88" s="53" t="s">
        <v>476</v>
      </c>
      <c r="F88" s="55">
        <v>3300</v>
      </c>
      <c r="G88" s="85">
        <f>IF(F88&gt;0,C88/F88,0)</f>
      </c>
      <c r="H88" s="86" t="s">
        <v>66</v>
      </c>
    </row>
    <row r="89" spans="1:8" x14ac:dyDescent="0.25">
      <c r="A89" s="63">
        <v>84</v>
      </c>
      <c r="B89" s="49" t="s">
        <v>502</v>
      </c>
      <c r="C89" s="55">
        <v>7225</v>
      </c>
      <c r="D89" s="84">
        <v>2.8</v>
      </c>
      <c r="E89" s="63" t="s">
        <v>476</v>
      </c>
      <c r="F89" s="55">
        <v>2800</v>
      </c>
      <c r="G89" s="85">
        <f>IF(F89&gt;0,C89/F89,0)</f>
      </c>
      <c r="H89" s="87" t="s">
        <v>66</v>
      </c>
    </row>
    <row r="90" spans="1:8" x14ac:dyDescent="0.25">
      <c r="A90" s="53">
        <v>85</v>
      </c>
      <c r="B90" s="44" t="s">
        <v>333</v>
      </c>
      <c r="C90" s="55">
        <v>6000</v>
      </c>
      <c r="D90" s="84">
        <v>1</v>
      </c>
      <c r="E90" s="53" t="s">
        <v>476</v>
      </c>
      <c r="F90" s="55">
        <v>1000</v>
      </c>
      <c r="G90" s="85">
        <f>IF(F90&gt;0,C90/F90,0)</f>
      </c>
      <c r="H90" s="86" t="s">
        <v>66</v>
      </c>
    </row>
    <row r="91" spans="1:8" x14ac:dyDescent="0.25">
      <c r="A91" s="63">
        <v>86</v>
      </c>
      <c r="B91" s="49" t="s">
        <v>503</v>
      </c>
      <c r="C91" s="55">
        <v>3200</v>
      </c>
      <c r="D91" s="84">
        <v>1</v>
      </c>
      <c r="E91" s="63" t="s">
        <v>476</v>
      </c>
      <c r="F91" s="55">
        <v>1000</v>
      </c>
      <c r="G91" s="85">
        <f>IF(F91&gt;0,C91/F91,0)</f>
      </c>
      <c r="H91" s="87" t="s">
        <v>66</v>
      </c>
    </row>
    <row r="92" spans="1:8" x14ac:dyDescent="0.25">
      <c r="A92" s="53">
        <v>87</v>
      </c>
      <c r="B92" s="44" t="s">
        <v>232</v>
      </c>
      <c r="C92" s="55">
        <v>210</v>
      </c>
      <c r="D92" s="84">
        <v>0.065</v>
      </c>
      <c r="E92" s="53" t="s">
        <v>476</v>
      </c>
      <c r="F92" s="55">
        <v>65</v>
      </c>
      <c r="G92" s="85">
        <f>IF(F92&gt;0,C92/F92,0)</f>
      </c>
      <c r="H92" s="86" t="s">
        <v>66</v>
      </c>
    </row>
    <row r="93" spans="1:8" x14ac:dyDescent="0.25">
      <c r="A93" s="63">
        <v>88</v>
      </c>
      <c r="B93" s="49" t="s">
        <v>270</v>
      </c>
      <c r="C93" s="55">
        <v>10000</v>
      </c>
      <c r="D93" s="84">
        <v>1</v>
      </c>
      <c r="E93" s="63" t="s">
        <v>476</v>
      </c>
      <c r="F93" s="55">
        <v>1000</v>
      </c>
      <c r="G93" s="85">
        <f>IF(F93&gt;0,C93/F93,0)</f>
      </c>
      <c r="H93" s="87" t="s">
        <v>66</v>
      </c>
    </row>
    <row r="94" spans="1:8" x14ac:dyDescent="0.25">
      <c r="A94" s="53">
        <v>89</v>
      </c>
      <c r="B94" s="44" t="s">
        <v>253</v>
      </c>
      <c r="C94" s="55">
        <v>9000</v>
      </c>
      <c r="D94" s="84">
        <v>0.5</v>
      </c>
      <c r="E94" s="53" t="s">
        <v>476</v>
      </c>
      <c r="F94" s="55">
        <v>500</v>
      </c>
      <c r="G94" s="85">
        <f>IF(F94&gt;0,C94/F94,0)</f>
      </c>
      <c r="H94" s="86" t="s">
        <v>66</v>
      </c>
    </row>
    <row r="95" spans="1:8" x14ac:dyDescent="0.25">
      <c r="A95" s="63">
        <v>90</v>
      </c>
      <c r="B95" s="49" t="s">
        <v>504</v>
      </c>
      <c r="C95" s="55">
        <v>24000</v>
      </c>
      <c r="D95" s="84">
        <v>20</v>
      </c>
      <c r="E95" s="63" t="s">
        <v>476</v>
      </c>
      <c r="F95" s="55">
        <v>20000</v>
      </c>
      <c r="G95" s="85">
        <f>IF(F95&gt;0,C95/F95,0)</f>
      </c>
      <c r="H95" s="87" t="s">
        <v>66</v>
      </c>
    </row>
    <row r="96" spans="1:8" x14ac:dyDescent="0.25">
      <c r="A96" s="53">
        <v>91</v>
      </c>
      <c r="B96" s="44" t="s">
        <v>336</v>
      </c>
      <c r="C96" s="55">
        <v>1800</v>
      </c>
      <c r="D96" s="84">
        <v>0.2</v>
      </c>
      <c r="E96" s="53" t="s">
        <v>476</v>
      </c>
      <c r="F96" s="55">
        <v>200</v>
      </c>
      <c r="G96" s="85">
        <f>IF(F96&gt;0,C96/F96,0)</f>
      </c>
      <c r="H96" s="86" t="s">
        <v>66</v>
      </c>
    </row>
    <row r="97" spans="1:8" x14ac:dyDescent="0.25">
      <c r="A97" s="63">
        <v>92</v>
      </c>
      <c r="B97" s="49" t="s">
        <v>241</v>
      </c>
      <c r="C97" s="55">
        <v>30000</v>
      </c>
      <c r="D97" s="84">
        <v>5</v>
      </c>
      <c r="E97" s="63" t="s">
        <v>476</v>
      </c>
      <c r="F97" s="55">
        <v>5000</v>
      </c>
      <c r="G97" s="85">
        <f>IF(F97&gt;0,C97/F97,0)</f>
      </c>
      <c r="H97" s="87" t="s">
        <v>66</v>
      </c>
    </row>
    <row r="98" spans="1:8" x14ac:dyDescent="0.25">
      <c r="A98" s="53">
        <v>93</v>
      </c>
      <c r="B98" s="44" t="s">
        <v>343</v>
      </c>
      <c r="C98" s="55">
        <v>3800</v>
      </c>
      <c r="D98" s="84">
        <v>0.2</v>
      </c>
      <c r="E98" s="53" t="s">
        <v>476</v>
      </c>
      <c r="F98" s="55">
        <v>200</v>
      </c>
      <c r="G98" s="85">
        <f>IF(F98&gt;0,C98/F98,0)</f>
      </c>
      <c r="H98" s="86" t="s">
        <v>66</v>
      </c>
    </row>
    <row r="99" spans="1:8" x14ac:dyDescent="0.25">
      <c r="A99" s="63">
        <v>94</v>
      </c>
      <c r="B99" s="49" t="s">
        <v>328</v>
      </c>
      <c r="C99" s="55">
        <v>3800</v>
      </c>
      <c r="D99" s="84">
        <v>0.2</v>
      </c>
      <c r="E99" s="63" t="s">
        <v>476</v>
      </c>
      <c r="F99" s="55">
        <v>200</v>
      </c>
      <c r="G99" s="85">
        <f>IF(F99&gt;0,C99/F99,0)</f>
      </c>
      <c r="H99" s="87" t="s">
        <v>66</v>
      </c>
    </row>
    <row r="100" spans="1:8" x14ac:dyDescent="0.25">
      <c r="A100" s="53">
        <v>95</v>
      </c>
      <c r="B100" s="44" t="s">
        <v>505</v>
      </c>
      <c r="C100" s="55">
        <v>60000</v>
      </c>
      <c r="D100" s="84">
        <v>0</v>
      </c>
      <c r="E100" s="53" t="s">
        <v>476</v>
      </c>
      <c r="F100" s="55">
        <v>0</v>
      </c>
      <c r="G100" s="85">
        <f>IF(F100&gt;0,C100/F100,0)</f>
      </c>
      <c r="H100" s="86" t="s">
        <v>490</v>
      </c>
    </row>
    <row r="101" spans="1:8" x14ac:dyDescent="0.25">
      <c r="A101" s="63">
        <v>96</v>
      </c>
      <c r="B101" s="49" t="s">
        <v>506</v>
      </c>
      <c r="C101" s="55">
        <v>64000</v>
      </c>
      <c r="D101" s="84">
        <v>0</v>
      </c>
      <c r="E101" s="63" t="s">
        <v>476</v>
      </c>
      <c r="F101" s="55">
        <v>0</v>
      </c>
      <c r="G101" s="85">
        <f>IF(F101&gt;0,C101/F101,0)</f>
      </c>
      <c r="H101" s="87" t="s">
        <v>490</v>
      </c>
    </row>
    <row r="102" spans="1:8" x14ac:dyDescent="0.25">
      <c r="A102" s="53">
        <v>97</v>
      </c>
      <c r="B102" s="44" t="s">
        <v>507</v>
      </c>
      <c r="C102" s="55">
        <v>63000</v>
      </c>
      <c r="D102" s="84">
        <v>0</v>
      </c>
      <c r="E102" s="53" t="s">
        <v>476</v>
      </c>
      <c r="F102" s="55">
        <v>0</v>
      </c>
      <c r="G102" s="85">
        <f>IF(F102&gt;0,C102/F102,0)</f>
      </c>
      <c r="H102" s="86" t="s">
        <v>490</v>
      </c>
    </row>
    <row r="103" spans="1:8" x14ac:dyDescent="0.25">
      <c r="A103" s="63">
        <v>98</v>
      </c>
      <c r="B103" s="49" t="s">
        <v>439</v>
      </c>
      <c r="C103" s="55">
        <v>3500</v>
      </c>
      <c r="D103" s="84">
        <v>0.835</v>
      </c>
      <c r="E103" s="63" t="s">
        <v>476</v>
      </c>
      <c r="F103" s="55">
        <v>835</v>
      </c>
      <c r="G103" s="85">
        <f>IF(F103&gt;0,C103/F103,0)</f>
      </c>
      <c r="H103" s="87" t="s">
        <v>66</v>
      </c>
    </row>
    <row r="104" spans="1:8" x14ac:dyDescent="0.25">
      <c r="A104" s="53">
        <v>99</v>
      </c>
      <c r="B104" s="44" t="s">
        <v>433</v>
      </c>
      <c r="C104" s="55">
        <v>3350</v>
      </c>
      <c r="D104" s="84">
        <v>0.565</v>
      </c>
      <c r="E104" s="53" t="s">
        <v>476</v>
      </c>
      <c r="F104" s="55">
        <v>565</v>
      </c>
      <c r="G104" s="85">
        <f>IF(F104&gt;0,C104/F104,0)</f>
      </c>
      <c r="H104" s="86" t="s">
        <v>66</v>
      </c>
    </row>
    <row r="105" spans="1:8" x14ac:dyDescent="0.25">
      <c r="A105" s="63">
        <v>100</v>
      </c>
      <c r="B105" s="49" t="s">
        <v>508</v>
      </c>
      <c r="C105" s="55">
        <v>11900</v>
      </c>
      <c r="D105" s="84">
        <v>0.21</v>
      </c>
      <c r="E105" s="63" t="s">
        <v>476</v>
      </c>
      <c r="F105" s="55">
        <v>210</v>
      </c>
      <c r="G105" s="85">
        <f>IF(F105&gt;0,C105/F105,0)</f>
      </c>
      <c r="H105" s="87" t="s">
        <v>66</v>
      </c>
    </row>
    <row r="106" spans="1:8" x14ac:dyDescent="0.25">
      <c r="A106" s="53">
        <v>101</v>
      </c>
      <c r="B106" s="44" t="s">
        <v>243</v>
      </c>
      <c r="C106" s="55">
        <v>14000</v>
      </c>
      <c r="D106" s="84">
        <v>1</v>
      </c>
      <c r="E106" s="53" t="s">
        <v>476</v>
      </c>
      <c r="F106" s="55">
        <v>1000</v>
      </c>
      <c r="G106" s="85">
        <f>IF(F106&gt;0,C106/F106,0)</f>
      </c>
      <c r="H106" s="86" t="s">
        <v>66</v>
      </c>
    </row>
    <row r="107" spans="1:8" x14ac:dyDescent="0.25">
      <c r="A107" s="63">
        <v>102</v>
      </c>
      <c r="B107" s="49" t="s">
        <v>262</v>
      </c>
      <c r="C107" s="55">
        <v>1900</v>
      </c>
      <c r="D107" s="84">
        <v>0.08</v>
      </c>
      <c r="E107" s="63" t="s">
        <v>476</v>
      </c>
      <c r="F107" s="55">
        <v>80</v>
      </c>
      <c r="G107" s="85">
        <f>IF(F107&gt;0,C107/F107,0)</f>
      </c>
      <c r="H107" s="87" t="s">
        <v>66</v>
      </c>
    </row>
    <row r="108" spans="1:8" x14ac:dyDescent="0.25">
      <c r="A108" s="53">
        <v>103</v>
      </c>
      <c r="B108" s="44" t="s">
        <v>249</v>
      </c>
      <c r="C108" s="55">
        <v>48500</v>
      </c>
      <c r="D108" s="84">
        <v>0.45</v>
      </c>
      <c r="E108" s="53" t="s">
        <v>476</v>
      </c>
      <c r="F108" s="55">
        <v>450</v>
      </c>
      <c r="G108" s="85">
        <f>IF(F108&gt;0,C108/F108,0)</f>
      </c>
      <c r="H108" s="86" t="s">
        <v>66</v>
      </c>
    </row>
    <row r="109" spans="1:8" x14ac:dyDescent="0.25">
      <c r="A109" s="63">
        <v>104</v>
      </c>
      <c r="B109" s="49" t="s">
        <v>425</v>
      </c>
      <c r="C109" s="55">
        <v>11900</v>
      </c>
      <c r="D109" s="84">
        <v>0.8</v>
      </c>
      <c r="E109" s="63" t="s">
        <v>476</v>
      </c>
      <c r="F109" s="55">
        <v>800</v>
      </c>
      <c r="G109" s="85">
        <f>IF(F109&gt;0,C109/F109,0)</f>
      </c>
      <c r="H109" s="87" t="s">
        <v>66</v>
      </c>
    </row>
    <row r="110" spans="1:8" x14ac:dyDescent="0.25">
      <c r="A110" s="53">
        <v>105</v>
      </c>
      <c r="B110" s="44" t="s">
        <v>319</v>
      </c>
      <c r="C110" s="55">
        <v>3910</v>
      </c>
      <c r="D110" s="84">
        <v>0.8</v>
      </c>
      <c r="E110" s="53" t="s">
        <v>476</v>
      </c>
      <c r="F110" s="55">
        <v>800</v>
      </c>
      <c r="G110" s="85">
        <f>IF(F110&gt;0,C110/F110,0)</f>
      </c>
      <c r="H110" s="86" t="s">
        <v>66</v>
      </c>
    </row>
    <row r="111" spans="1:8" x14ac:dyDescent="0.25">
      <c r="A111" s="63">
        <v>106</v>
      </c>
      <c r="B111" s="49" t="s">
        <v>310</v>
      </c>
      <c r="C111" s="55">
        <v>9900</v>
      </c>
      <c r="D111" s="84">
        <v>2</v>
      </c>
      <c r="E111" s="63" t="s">
        <v>476</v>
      </c>
      <c r="F111" s="55">
        <v>2000</v>
      </c>
      <c r="G111" s="85">
        <f>IF(F111&gt;0,C111/F111,0)</f>
      </c>
      <c r="H111" s="87" t="s">
        <v>66</v>
      </c>
    </row>
    <row r="112" spans="1:8" x14ac:dyDescent="0.25">
      <c r="A112" s="53">
        <v>107</v>
      </c>
      <c r="B112" s="44" t="s">
        <v>373</v>
      </c>
      <c r="C112" s="55">
        <v>4980</v>
      </c>
      <c r="D112" s="84">
        <v>0.5</v>
      </c>
      <c r="E112" s="53" t="s">
        <v>476</v>
      </c>
      <c r="F112" s="55">
        <v>500</v>
      </c>
      <c r="G112" s="85">
        <f>IF(F112&gt;0,C112/F112,0)</f>
      </c>
      <c r="H112" s="86" t="s">
        <v>66</v>
      </c>
    </row>
    <row r="113" spans="1:8" x14ac:dyDescent="0.25">
      <c r="A113" s="63">
        <v>108</v>
      </c>
      <c r="B113" s="49" t="s">
        <v>369</v>
      </c>
      <c r="C113" s="55">
        <v>5500</v>
      </c>
      <c r="D113" s="84">
        <v>0.55</v>
      </c>
      <c r="E113" s="63" t="s">
        <v>476</v>
      </c>
      <c r="F113" s="55">
        <v>550</v>
      </c>
      <c r="G113" s="85">
        <f>IF(F113&gt;0,C113/F113,0)</f>
      </c>
      <c r="H113" s="87" t="s">
        <v>66</v>
      </c>
    </row>
    <row r="114" spans="1:8" x14ac:dyDescent="0.25">
      <c r="A114" s="53">
        <v>109</v>
      </c>
      <c r="B114" s="44" t="s">
        <v>334</v>
      </c>
      <c r="C114" s="55">
        <v>16500</v>
      </c>
      <c r="D114" s="84">
        <v>3</v>
      </c>
      <c r="E114" s="53" t="s">
        <v>476</v>
      </c>
      <c r="F114" s="55">
        <v>3000</v>
      </c>
      <c r="G114" s="85">
        <f>IF(F114&gt;0,C114/F114,0)</f>
      </c>
      <c r="H114" s="86" t="s">
        <v>66</v>
      </c>
    </row>
    <row r="115" spans="1:8" x14ac:dyDescent="0.25">
      <c r="A115" s="63">
        <v>110</v>
      </c>
      <c r="B115" s="49" t="s">
        <v>346</v>
      </c>
      <c r="C115" s="55">
        <v>2500</v>
      </c>
      <c r="D115" s="84">
        <v>0.5</v>
      </c>
      <c r="E115" s="63" t="s">
        <v>476</v>
      </c>
      <c r="F115" s="55">
        <v>500</v>
      </c>
      <c r="G115" s="85">
        <f>IF(F115&gt;0,C115/F115,0)</f>
      </c>
      <c r="H115" s="87" t="s">
        <v>66</v>
      </c>
    </row>
    <row r="116" spans="1:8" x14ac:dyDescent="0.25">
      <c r="A116" s="53">
        <v>111</v>
      </c>
      <c r="B116" s="44" t="s">
        <v>450</v>
      </c>
      <c r="C116" s="55">
        <v>1600</v>
      </c>
      <c r="D116" s="84">
        <v>0.1</v>
      </c>
      <c r="E116" s="53" t="s">
        <v>476</v>
      </c>
      <c r="F116" s="55">
        <v>100</v>
      </c>
      <c r="G116" s="85">
        <f>IF(F116&gt;0,C116/F116,0)</f>
      </c>
      <c r="H116" s="86" t="s">
        <v>66</v>
      </c>
    </row>
    <row r="117" spans="1:8" x14ac:dyDescent="0.25">
      <c r="A117" s="63">
        <v>112</v>
      </c>
      <c r="B117" s="49" t="s">
        <v>509</v>
      </c>
      <c r="C117" s="55">
        <v>3200</v>
      </c>
      <c r="D117" s="84">
        <v>1</v>
      </c>
      <c r="E117" s="63" t="s">
        <v>476</v>
      </c>
      <c r="F117" s="55">
        <v>1000</v>
      </c>
      <c r="G117" s="85">
        <f>IF(F117&gt;0,C117/F117,0)</f>
      </c>
      <c r="H117" s="87" t="s">
        <v>66</v>
      </c>
    </row>
    <row r="118" spans="1:8" x14ac:dyDescent="0.25">
      <c r="A118" s="53">
        <v>113</v>
      </c>
      <c r="B118" s="44" t="s">
        <v>510</v>
      </c>
      <c r="C118" s="55">
        <v>23500</v>
      </c>
      <c r="D118" s="84">
        <v>1</v>
      </c>
      <c r="E118" s="53" t="s">
        <v>476</v>
      </c>
      <c r="F118" s="55">
        <v>1000</v>
      </c>
      <c r="G118" s="85">
        <f>IF(F118&gt;0,C118/F118,0)</f>
      </c>
      <c r="H118" s="86" t="s">
        <v>66</v>
      </c>
    </row>
    <row r="119" spans="1:8" x14ac:dyDescent="0.25">
      <c r="A119" s="63">
        <v>114</v>
      </c>
      <c r="B119" s="49" t="s">
        <v>409</v>
      </c>
      <c r="C119" s="55">
        <v>23500</v>
      </c>
      <c r="D119" s="84">
        <v>1</v>
      </c>
      <c r="E119" s="63" t="s">
        <v>476</v>
      </c>
      <c r="F119" s="55">
        <v>1000</v>
      </c>
      <c r="G119" s="85">
        <f>IF(F119&gt;0,C119/F119,0)</f>
      </c>
      <c r="H119" s="87" t="s">
        <v>66</v>
      </c>
    </row>
    <row r="120" spans="1:8" x14ac:dyDescent="0.25">
      <c r="A120" s="53">
        <v>115</v>
      </c>
      <c r="B120" s="44" t="s">
        <v>404</v>
      </c>
      <c r="C120" s="55">
        <v>700</v>
      </c>
      <c r="D120" s="84">
        <v>0.15</v>
      </c>
      <c r="E120" s="53" t="s">
        <v>476</v>
      </c>
      <c r="F120" s="55">
        <v>150</v>
      </c>
      <c r="G120" s="85">
        <f>IF(F120&gt;0,C120/F120,0)</f>
      </c>
      <c r="H120" s="86" t="s">
        <v>66</v>
      </c>
    </row>
    <row r="121" spans="1:8" x14ac:dyDescent="0.25">
      <c r="A121" s="63">
        <v>116</v>
      </c>
      <c r="B121" s="49" t="s">
        <v>414</v>
      </c>
      <c r="C121" s="55">
        <v>9000</v>
      </c>
      <c r="D121" s="84">
        <v>2.4</v>
      </c>
      <c r="E121" s="63" t="s">
        <v>476</v>
      </c>
      <c r="F121" s="55">
        <v>2400</v>
      </c>
      <c r="G121" s="85">
        <f>IF(F121&gt;0,C121/F121,0)</f>
      </c>
      <c r="H121" s="87" t="s">
        <v>66</v>
      </c>
    </row>
    <row r="122" spans="1:8" x14ac:dyDescent="0.25">
      <c r="A122" s="53">
        <v>117</v>
      </c>
      <c r="B122" s="44" t="s">
        <v>352</v>
      </c>
      <c r="C122" s="55">
        <v>14000</v>
      </c>
      <c r="D122" s="84">
        <v>3.2</v>
      </c>
      <c r="E122" s="53" t="s">
        <v>476</v>
      </c>
      <c r="F122" s="55">
        <v>3200</v>
      </c>
      <c r="G122" s="85">
        <f>IF(F122&gt;0,C122/F122,0)</f>
      </c>
      <c r="H122" s="86" t="s">
        <v>66</v>
      </c>
    </row>
    <row r="123" spans="1:8" x14ac:dyDescent="0.25">
      <c r="A123" s="63">
        <v>118</v>
      </c>
      <c r="B123" s="49" t="s">
        <v>420</v>
      </c>
      <c r="C123" s="55">
        <v>0</v>
      </c>
      <c r="D123" s="84">
        <v>0</v>
      </c>
      <c r="E123" s="63" t="s">
        <v>207</v>
      </c>
      <c r="F123" s="55">
        <v>0</v>
      </c>
      <c r="G123" s="85">
        <f>IF(F123&gt;0,C123/F123,0)</f>
      </c>
      <c r="H123" s="87" t="s">
        <v>481</v>
      </c>
    </row>
  </sheetData>
  <autoFilter ref="A5:H123"/>
  <mergeCells count="3">
    <mergeCell ref="A1:H1"/>
    <mergeCell ref="A2:H2"/>
    <mergeCell ref="A3:H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 showGridLines="0">
      <pane ySplit="5" topLeftCell="A6" activePane="bottomLeft" state="frozen"/>
      <selection pane="bottomLeft"/>
    </sheetView>
  </sheetViews>
  <sheetFormatPr defaultRowHeight="19" outlineLevelRow="0" outlineLevelCol="0" x14ac:dyDescent="55" customHeight="1"/>
  <cols>
    <col min="1" max="1" width="6" customWidth="1"/>
    <col min="2" max="2" width="24" customWidth="1"/>
    <col min="3" max="3" width="13" customWidth="1"/>
    <col min="4" max="4" width="10" customWidth="1"/>
    <col min="5" max="5" width="13" customWidth="1"/>
    <col min="6" max="6" width="14" customWidth="1"/>
    <col min="7" max="7" width="13" customWidth="1"/>
    <col min="8" max="8" width="26" customWidth="1"/>
  </cols>
  <sheetData>
    <row r="1" ht="34" customHeight="1" spans="1:8" x14ac:dyDescent="0.25">
      <c r="A1" s="1" t="s">
        <v>511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512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52" t="s">
        <v>513</v>
      </c>
      <c r="B3" s="52"/>
      <c r="C3" s="52"/>
      <c r="D3" s="52"/>
      <c r="E3" s="52"/>
      <c r="F3" s="52"/>
      <c r="G3" s="52"/>
      <c r="H3" s="52"/>
    </row>
    <row r="5" ht="26" customHeight="1" spans="1:8" x14ac:dyDescent="0.25">
      <c r="A5" s="30" t="s">
        <v>96</v>
      </c>
      <c r="B5" s="30" t="s">
        <v>514</v>
      </c>
      <c r="C5" s="30" t="s">
        <v>515</v>
      </c>
      <c r="D5" s="30" t="s">
        <v>200</v>
      </c>
      <c r="E5" s="30" t="s">
        <v>516</v>
      </c>
      <c r="F5" s="30" t="s">
        <v>517</v>
      </c>
      <c r="G5" s="30" t="s">
        <v>518</v>
      </c>
      <c r="H5" s="30" t="s">
        <v>203</v>
      </c>
    </row>
    <row r="6" spans="1:8" x14ac:dyDescent="0.25">
      <c r="A6" s="53">
        <v>1</v>
      </c>
      <c r="B6" s="44" t="s">
        <v>210</v>
      </c>
      <c r="C6" s="55">
        <v>59904</v>
      </c>
      <c r="D6" s="73">
        <v>0.78</v>
      </c>
      <c r="E6" s="57">
        <f>SUMIF($A$21:$A$66,$B6,$F$21:$F$66)</f>
      </c>
      <c r="F6" s="85">
        <f>IF(C6&gt;0,E6/C6,0)</f>
      </c>
      <c r="G6" s="57">
        <f>SUMIF($A$21:$A$66,$B6,$D$21:$D$66)</f>
      </c>
      <c r="H6" s="44" t="s">
        <v>66</v>
      </c>
    </row>
    <row r="7" spans="1:8" x14ac:dyDescent="0.25">
      <c r="A7" s="53">
        <v>2</v>
      </c>
      <c r="B7" s="44" t="s">
        <v>317</v>
      </c>
      <c r="C7" s="55">
        <v>1048</v>
      </c>
      <c r="D7" s="73">
        <v>0.8</v>
      </c>
      <c r="E7" s="57">
        <f>SUMIF($A$21:$A$66,$B7,$F$21:$F$66)</f>
      </c>
      <c r="F7" s="85">
        <f>IF(C7&gt;0,E7/C7,0)</f>
      </c>
      <c r="G7" s="57">
        <f>SUMIF($A$21:$A$66,$B7,$D$21:$D$66)</f>
      </c>
      <c r="H7" s="44" t="s">
        <v>66</v>
      </c>
    </row>
    <row r="8" spans="1:8" x14ac:dyDescent="0.25">
      <c r="A8" s="53">
        <v>3</v>
      </c>
      <c r="B8" s="44" t="s">
        <v>265</v>
      </c>
      <c r="C8" s="55">
        <v>4950</v>
      </c>
      <c r="D8" s="73">
        <v>0.15</v>
      </c>
      <c r="E8" s="57">
        <f>SUMIF($A$21:$A$66,$B8,$F$21:$F$66)</f>
      </c>
      <c r="F8" s="85">
        <f>IF(C8&gt;0,E8/C8,0)</f>
      </c>
      <c r="G8" s="57">
        <f>SUMIF($A$21:$A$66,$B8,$D$21:$D$66)</f>
      </c>
      <c r="H8" s="44" t="s">
        <v>66</v>
      </c>
    </row>
    <row r="9" spans="1:8" x14ac:dyDescent="0.25">
      <c r="A9" s="53">
        <v>4</v>
      </c>
      <c r="B9" s="44" t="s">
        <v>225</v>
      </c>
      <c r="C9" s="55">
        <v>1402.5</v>
      </c>
      <c r="D9" s="73">
        <v>0.85</v>
      </c>
      <c r="E9" s="57">
        <f>SUMIF($A$21:$A$66,$B9,$F$21:$F$66)</f>
      </c>
      <c r="F9" s="85">
        <f>IF(C9&gt;0,E9/C9,0)</f>
      </c>
      <c r="G9" s="57">
        <f>SUMIF($A$21:$A$66,$B9,$D$21:$D$66)</f>
      </c>
      <c r="H9" s="44" t="s">
        <v>66</v>
      </c>
    </row>
    <row r="10" spans="1:8" x14ac:dyDescent="0.25">
      <c r="A10" s="53">
        <v>5</v>
      </c>
      <c r="B10" s="44" t="s">
        <v>407</v>
      </c>
      <c r="C10" s="55">
        <v>1200</v>
      </c>
      <c r="D10" s="73">
        <v>1</v>
      </c>
      <c r="E10" s="57">
        <f>SUMIF($A$21:$A$66,$B10,$F$21:$F$66)</f>
      </c>
      <c r="F10" s="85">
        <f>IF(C10&gt;0,E10/C10,0)</f>
      </c>
      <c r="G10" s="57">
        <f>SUMIF($A$21:$A$66,$B10,$D$21:$D$66)</f>
      </c>
      <c r="H10" s="44" t="s">
        <v>66</v>
      </c>
    </row>
    <row r="11" spans="1:8" x14ac:dyDescent="0.25">
      <c r="A11" s="53">
        <v>6</v>
      </c>
      <c r="B11" s="44" t="s">
        <v>297</v>
      </c>
      <c r="C11" s="55">
        <v>1520</v>
      </c>
      <c r="D11" s="73">
        <v>0.95</v>
      </c>
      <c r="E11" s="57">
        <f>SUMIF($A$21:$A$66,$B11,$F$21:$F$66)</f>
      </c>
      <c r="F11" s="85">
        <f>IF(C11&gt;0,E11/C11,0)</f>
      </c>
      <c r="G11" s="57">
        <f>SUMIF($A$21:$A$66,$B11,$D$21:$D$66)</f>
      </c>
      <c r="H11" s="44" t="s">
        <v>66</v>
      </c>
    </row>
    <row r="12" spans="1:8" x14ac:dyDescent="0.25">
      <c r="A12" s="53">
        <v>7</v>
      </c>
      <c r="B12" s="44" t="s">
        <v>519</v>
      </c>
      <c r="C12" s="55">
        <v>900</v>
      </c>
      <c r="D12" s="73">
        <v>0.9</v>
      </c>
      <c r="E12" s="57">
        <f>SUMIF($A$21:$A$66,$B12,$F$21:$F$66)</f>
      </c>
      <c r="F12" s="85">
        <f>IF(C12&gt;0,E12/C12,0)</f>
      </c>
      <c r="G12" s="57">
        <f>SUMIF($A$21:$A$66,$B12,$D$21:$D$66)</f>
      </c>
      <c r="H12" s="44" t="s">
        <v>66</v>
      </c>
    </row>
    <row r="13" spans="1:8" x14ac:dyDescent="0.25">
      <c r="A13" s="53">
        <v>8</v>
      </c>
      <c r="B13" s="44" t="s">
        <v>348</v>
      </c>
      <c r="C13" s="55">
        <v>22.8</v>
      </c>
      <c r="D13" s="73">
        <v>0.6</v>
      </c>
      <c r="E13" s="57">
        <f>SUMIF($A$21:$A$66,$B13,$F$21:$F$66)</f>
      </c>
      <c r="F13" s="85">
        <f>IF(C13&gt;0,E13/C13,0)</f>
      </c>
      <c r="G13" s="57">
        <f>SUMIF($A$21:$A$66,$B13,$D$21:$D$66)</f>
      </c>
      <c r="H13" s="44" t="s">
        <v>66</v>
      </c>
    </row>
    <row r="14" spans="1:8" x14ac:dyDescent="0.25">
      <c r="A14" s="53">
        <v>9</v>
      </c>
      <c r="B14" s="44" t="s">
        <v>260</v>
      </c>
      <c r="C14" s="55">
        <v>2000</v>
      </c>
      <c r="D14" s="73">
        <v>1</v>
      </c>
      <c r="E14" s="57">
        <f>SUMIF($A$67:$A$89,$B14,$F$67:$F$89)</f>
      </c>
      <c r="F14" s="85">
        <f>IF(C14&gt;0,E14/C14,0)</f>
      </c>
      <c r="G14" s="57">
        <f>SUMIF($A$67:$A$89,$B14,$D$67:$D$89)</f>
      </c>
      <c r="H14" s="44" t="s">
        <v>66</v>
      </c>
    </row>
    <row r="15" spans="1:8" x14ac:dyDescent="0.25">
      <c r="A15" s="53">
        <v>10</v>
      </c>
      <c r="B15" s="44" t="s">
        <v>520</v>
      </c>
      <c r="C15" s="55">
        <v>549</v>
      </c>
      <c r="D15" s="73">
        <v>0.6</v>
      </c>
      <c r="E15" s="57">
        <f>SUMIF($A$67:$A$89,$B15,$F$67:$F$89)</f>
      </c>
      <c r="F15" s="85">
        <f>IF(C15&gt;0,E15/C15,0)</f>
      </c>
      <c r="G15" s="57">
        <f>SUMIF($A$67:$A$89,$B15,$D$67:$D$89)</f>
      </c>
      <c r="H15" s="44" t="s">
        <v>66</v>
      </c>
    </row>
    <row r="16" spans="1:8" x14ac:dyDescent="0.25">
      <c r="A16" s="53">
        <v>11</v>
      </c>
      <c r="B16" s="44" t="s">
        <v>521</v>
      </c>
      <c r="C16" s="55">
        <v>2000</v>
      </c>
      <c r="D16" s="73">
        <v>1</v>
      </c>
      <c r="E16" s="57">
        <f>SUMIF($A$67:$A$89,$B16,$F$67:$F$89)</f>
      </c>
      <c r="F16" s="85">
        <f>IF(C16&gt;0,E16/C16,0)</f>
      </c>
      <c r="G16" s="57">
        <f>SUMIF($A$67:$A$89,$B16,$D$67:$D$89)</f>
      </c>
      <c r="H16" s="44" t="s">
        <v>66</v>
      </c>
    </row>
    <row r="18" ht="24" customHeight="1" spans="1:8" x14ac:dyDescent="0.25">
      <c r="A18" s="3" t="s">
        <v>522</v>
      </c>
      <c r="B18" s="3"/>
      <c r="C18" s="3"/>
      <c r="D18" s="3"/>
      <c r="E18" s="3"/>
      <c r="F18" s="3"/>
      <c r="G18" s="3"/>
      <c r="H18" s="3"/>
    </row>
    <row r="20" ht="26" customHeight="1" spans="1:8" x14ac:dyDescent="0.25">
      <c r="A20" s="30" t="s">
        <v>514</v>
      </c>
      <c r="B20" s="30" t="s">
        <v>195</v>
      </c>
      <c r="C20" s="30" t="s">
        <v>523</v>
      </c>
      <c r="D20" s="30" t="s">
        <v>524</v>
      </c>
      <c r="E20" s="30" t="s">
        <v>201</v>
      </c>
      <c r="F20" s="30" t="s">
        <v>202</v>
      </c>
      <c r="G20" s="30" t="s">
        <v>66</v>
      </c>
      <c r="H20" s="30" t="s">
        <v>66</v>
      </c>
    </row>
    <row r="21" spans="1:6" x14ac:dyDescent="0.25">
      <c r="A21" s="44" t="s">
        <v>210</v>
      </c>
      <c r="B21" s="53" t="s">
        <v>204</v>
      </c>
      <c r="C21" s="44" t="s">
        <v>279</v>
      </c>
      <c r="D21" s="55">
        <v>60000</v>
      </c>
      <c r="E21" s="74">
        <f>IFERROR(VLOOKUP($C21,'① 식재료 단가'!$B$6:$G$123,6,FALSE),0)</f>
      </c>
      <c r="F21" s="57">
        <f>ROUND($D21*$E21,2)</f>
      </c>
    </row>
    <row r="22" spans="1:6" x14ac:dyDescent="0.25">
      <c r="A22" s="44" t="s">
        <v>210</v>
      </c>
      <c r="B22" s="53" t="s">
        <v>204</v>
      </c>
      <c r="C22" s="44" t="s">
        <v>300</v>
      </c>
      <c r="D22" s="55">
        <v>1000</v>
      </c>
      <c r="E22" s="74">
        <f>IFERROR(VLOOKUP($C22,'① 식재료 단가'!$B$6:$G$123,6,FALSE),0)</f>
      </c>
      <c r="F22" s="57">
        <f>ROUND($D22*$E22,2)</f>
      </c>
    </row>
    <row r="23" spans="1:6" x14ac:dyDescent="0.25">
      <c r="A23" s="44" t="s">
        <v>210</v>
      </c>
      <c r="B23" s="53" t="s">
        <v>204</v>
      </c>
      <c r="C23" s="44" t="s">
        <v>364</v>
      </c>
      <c r="D23" s="55">
        <v>4000</v>
      </c>
      <c r="E23" s="74">
        <f>IFERROR(VLOOKUP($C23,'① 식재료 단가'!$B$6:$G$123,6,FALSE),0)</f>
      </c>
      <c r="F23" s="57">
        <f>ROUND($D23*$E23,2)</f>
      </c>
    </row>
    <row r="24" spans="1:6" x14ac:dyDescent="0.25">
      <c r="A24" s="44" t="s">
        <v>210</v>
      </c>
      <c r="B24" s="53" t="s">
        <v>204</v>
      </c>
      <c r="C24" s="44" t="s">
        <v>495</v>
      </c>
      <c r="D24" s="55">
        <v>3000</v>
      </c>
      <c r="E24" s="74">
        <f>IFERROR(VLOOKUP($C24,'① 식재료 단가'!$B$6:$G$123,6,FALSE),0)</f>
      </c>
      <c r="F24" s="57">
        <f>ROUND($D24*$E24,2)</f>
      </c>
    </row>
    <row r="25" spans="1:6" x14ac:dyDescent="0.25">
      <c r="A25" s="44" t="s">
        <v>210</v>
      </c>
      <c r="B25" s="53" t="s">
        <v>204</v>
      </c>
      <c r="C25" s="44" t="s">
        <v>234</v>
      </c>
      <c r="D25" s="55">
        <v>1000</v>
      </c>
      <c r="E25" s="74">
        <f>IFERROR(VLOOKUP($C25,'① 식재료 단가'!$B$6:$G$123,6,FALSE),0)</f>
      </c>
      <c r="F25" s="57">
        <f>ROUND($D25*$E25,2)</f>
      </c>
    </row>
    <row r="26" spans="1:6" x14ac:dyDescent="0.25">
      <c r="A26" s="44" t="s">
        <v>210</v>
      </c>
      <c r="B26" s="53" t="s">
        <v>204</v>
      </c>
      <c r="C26" s="44" t="s">
        <v>327</v>
      </c>
      <c r="D26" s="55">
        <v>400</v>
      </c>
      <c r="E26" s="74">
        <f>IFERROR(VLOOKUP($C26,'① 식재료 단가'!$B$6:$G$123,6,FALSE),0)</f>
      </c>
      <c r="F26" s="57">
        <f>ROUND($D26*$E26,2)</f>
      </c>
    </row>
    <row r="27" spans="1:6" x14ac:dyDescent="0.25">
      <c r="A27" s="44" t="s">
        <v>210</v>
      </c>
      <c r="B27" s="53" t="s">
        <v>204</v>
      </c>
      <c r="C27" s="44" t="s">
        <v>508</v>
      </c>
      <c r="D27" s="55">
        <v>200</v>
      </c>
      <c r="E27" s="74">
        <f>IFERROR(VLOOKUP($C27,'① 식재료 단가'!$B$6:$G$123,6,FALSE),0)</f>
      </c>
      <c r="F27" s="57">
        <f>ROUND($D27*$E27,2)</f>
      </c>
    </row>
    <row r="28" spans="1:6" x14ac:dyDescent="0.25">
      <c r="A28" s="44" t="s">
        <v>210</v>
      </c>
      <c r="B28" s="53" t="s">
        <v>204</v>
      </c>
      <c r="C28" s="44" t="s">
        <v>343</v>
      </c>
      <c r="D28" s="55">
        <v>200</v>
      </c>
      <c r="E28" s="74">
        <f>IFERROR(VLOOKUP($C28,'① 식재료 단가'!$B$6:$G$123,6,FALSE),0)</f>
      </c>
      <c r="F28" s="57">
        <f>ROUND($D28*$E28,2)</f>
      </c>
    </row>
    <row r="29" spans="1:6" x14ac:dyDescent="0.25">
      <c r="A29" s="44" t="s">
        <v>210</v>
      </c>
      <c r="B29" s="53" t="s">
        <v>204</v>
      </c>
      <c r="C29" s="44" t="s">
        <v>328</v>
      </c>
      <c r="D29" s="55">
        <v>200</v>
      </c>
      <c r="E29" s="74">
        <f>IFERROR(VLOOKUP($C29,'① 식재료 단가'!$B$6:$G$123,6,FALSE),0)</f>
      </c>
      <c r="F29" s="57">
        <f>ROUND($D29*$E29,2)</f>
      </c>
    </row>
    <row r="30" spans="1:6" x14ac:dyDescent="0.25">
      <c r="A30" s="44" t="s">
        <v>210</v>
      </c>
      <c r="B30" s="53" t="s">
        <v>204</v>
      </c>
      <c r="C30" s="44" t="s">
        <v>238</v>
      </c>
      <c r="D30" s="55">
        <v>3000</v>
      </c>
      <c r="E30" s="74">
        <f>IFERROR(VLOOKUP($C30,'① 식재료 단가'!$B$6:$G$123,6,FALSE),0)</f>
      </c>
      <c r="F30" s="57">
        <f>ROUND($D30*$E30,2)</f>
      </c>
    </row>
    <row r="31" spans="1:6" x14ac:dyDescent="0.25">
      <c r="A31" s="44" t="s">
        <v>210</v>
      </c>
      <c r="B31" s="53" t="s">
        <v>204</v>
      </c>
      <c r="C31" s="44" t="s">
        <v>301</v>
      </c>
      <c r="D31" s="55">
        <v>400</v>
      </c>
      <c r="E31" s="74">
        <f>IFERROR(VLOOKUP($C31,'① 식재료 단가'!$B$6:$G$123,6,FALSE),0)</f>
      </c>
      <c r="F31" s="57">
        <f>ROUND($D31*$E31,2)</f>
      </c>
    </row>
    <row r="32" spans="1:6" x14ac:dyDescent="0.25">
      <c r="A32" s="44" t="s">
        <v>210</v>
      </c>
      <c r="B32" s="53" t="s">
        <v>204</v>
      </c>
      <c r="C32" s="44" t="s">
        <v>248</v>
      </c>
      <c r="D32" s="55">
        <v>400</v>
      </c>
      <c r="E32" s="74">
        <f>IFERROR(VLOOKUP($C32,'① 식재료 단가'!$B$6:$G$123,6,FALSE),0)</f>
      </c>
      <c r="F32" s="57">
        <f>ROUND($D32*$E32,2)</f>
      </c>
    </row>
    <row r="33" spans="1:6" x14ac:dyDescent="0.25">
      <c r="A33" s="44" t="s">
        <v>210</v>
      </c>
      <c r="B33" s="53" t="s">
        <v>204</v>
      </c>
      <c r="C33" s="44" t="s">
        <v>251</v>
      </c>
      <c r="D33" s="55">
        <v>3000</v>
      </c>
      <c r="E33" s="74">
        <f>IFERROR(VLOOKUP($C33,'① 식재료 단가'!$B$6:$G$123,6,FALSE),0)</f>
      </c>
      <c r="F33" s="57">
        <f>ROUND($D33*$E33,2)</f>
      </c>
    </row>
    <row r="34" spans="1:6" x14ac:dyDescent="0.25">
      <c r="A34" s="49" t="s">
        <v>317</v>
      </c>
      <c r="B34" s="63" t="s">
        <v>204</v>
      </c>
      <c r="C34" s="49" t="s">
        <v>503</v>
      </c>
      <c r="D34" s="55">
        <v>1000</v>
      </c>
      <c r="E34" s="74">
        <f>IFERROR(VLOOKUP($C34,'① 식재료 단가'!$B$6:$G$123,6,FALSE),0)</f>
      </c>
      <c r="F34" s="57">
        <f>ROUND($D34*$E34,2)</f>
      </c>
    </row>
    <row r="35" spans="1:6" x14ac:dyDescent="0.25">
      <c r="A35" s="49" t="s">
        <v>317</v>
      </c>
      <c r="B35" s="63" t="s">
        <v>204</v>
      </c>
      <c r="C35" s="49" t="s">
        <v>327</v>
      </c>
      <c r="D35" s="55">
        <v>100</v>
      </c>
      <c r="E35" s="74">
        <f>IFERROR(VLOOKUP($C35,'① 식재료 단가'!$B$6:$G$123,6,FALSE),0)</f>
      </c>
      <c r="F35" s="57">
        <f>ROUND($D35*$E35,2)</f>
      </c>
    </row>
    <row r="36" spans="1:6" x14ac:dyDescent="0.25">
      <c r="A36" s="49" t="s">
        <v>317</v>
      </c>
      <c r="B36" s="63" t="s">
        <v>204</v>
      </c>
      <c r="C36" s="49" t="s">
        <v>216</v>
      </c>
      <c r="D36" s="55">
        <v>30</v>
      </c>
      <c r="E36" s="74">
        <f>IFERROR(VLOOKUP($C36,'① 식재료 단가'!$B$6:$G$123,6,FALSE),0)</f>
      </c>
      <c r="F36" s="57">
        <f>ROUND($D36*$E36,2)</f>
      </c>
    </row>
    <row r="37" spans="1:6" x14ac:dyDescent="0.25">
      <c r="A37" s="49" t="s">
        <v>317</v>
      </c>
      <c r="B37" s="63" t="s">
        <v>204</v>
      </c>
      <c r="C37" s="49" t="s">
        <v>300</v>
      </c>
      <c r="D37" s="55">
        <v>100</v>
      </c>
      <c r="E37" s="74">
        <f>IFERROR(VLOOKUP($C37,'① 식재료 단가'!$B$6:$G$123,6,FALSE),0)</f>
      </c>
      <c r="F37" s="57">
        <f>ROUND($D37*$E37,2)</f>
      </c>
    </row>
    <row r="38" spans="1:6" x14ac:dyDescent="0.25">
      <c r="A38" s="49" t="s">
        <v>317</v>
      </c>
      <c r="B38" s="63" t="s">
        <v>204</v>
      </c>
      <c r="C38" s="49" t="s">
        <v>234</v>
      </c>
      <c r="D38" s="55">
        <v>50</v>
      </c>
      <c r="E38" s="74">
        <f>IFERROR(VLOOKUP($C38,'① 식재료 단가'!$B$6:$G$123,6,FALSE),0)</f>
      </c>
      <c r="F38" s="57">
        <f>ROUND($D38*$E38,2)</f>
      </c>
    </row>
    <row r="39" spans="1:6" x14ac:dyDescent="0.25">
      <c r="A39" s="49" t="s">
        <v>317</v>
      </c>
      <c r="B39" s="63" t="s">
        <v>204</v>
      </c>
      <c r="C39" s="49" t="s">
        <v>243</v>
      </c>
      <c r="D39" s="55">
        <v>30</v>
      </c>
      <c r="E39" s="74">
        <f>IFERROR(VLOOKUP($C39,'① 식재료 단가'!$B$6:$G$123,6,FALSE),0)</f>
      </c>
      <c r="F39" s="57">
        <f>ROUND($D39*$E39,2)</f>
      </c>
    </row>
    <row r="40" spans="1:6" x14ac:dyDescent="0.25">
      <c r="A40" s="44" t="s">
        <v>265</v>
      </c>
      <c r="B40" s="53" t="s">
        <v>204</v>
      </c>
      <c r="C40" s="44" t="s">
        <v>228</v>
      </c>
      <c r="D40" s="55">
        <v>33000</v>
      </c>
      <c r="E40" s="74">
        <f>IFERROR(VLOOKUP($C40,'① 식재료 단가'!$B$6:$G$123,6,FALSE),0)</f>
      </c>
      <c r="F40" s="57">
        <f>ROUND($D40*$E40,2)</f>
      </c>
    </row>
    <row r="41" spans="1:6" x14ac:dyDescent="0.25">
      <c r="A41" s="49" t="s">
        <v>225</v>
      </c>
      <c r="B41" s="63" t="s">
        <v>204</v>
      </c>
      <c r="C41" s="49" t="s">
        <v>279</v>
      </c>
      <c r="D41" s="55">
        <v>1000</v>
      </c>
      <c r="E41" s="74">
        <f>IFERROR(VLOOKUP($C41,'① 식재료 단가'!$B$6:$G$123,6,FALSE),0)</f>
      </c>
      <c r="F41" s="57">
        <f>ROUND($D41*$E41,2)</f>
      </c>
    </row>
    <row r="42" spans="1:6" x14ac:dyDescent="0.25">
      <c r="A42" s="49" t="s">
        <v>225</v>
      </c>
      <c r="B42" s="63" t="s">
        <v>204</v>
      </c>
      <c r="C42" s="49" t="s">
        <v>231</v>
      </c>
      <c r="D42" s="55">
        <v>20</v>
      </c>
      <c r="E42" s="74">
        <f>IFERROR(VLOOKUP($C42,'① 식재료 단가'!$B$6:$G$123,6,FALSE),0)</f>
      </c>
      <c r="F42" s="57">
        <f>ROUND($D42*$E42,2)</f>
      </c>
    </row>
    <row r="43" spans="1:6" x14ac:dyDescent="0.25">
      <c r="A43" s="49" t="s">
        <v>225</v>
      </c>
      <c r="B43" s="63" t="s">
        <v>204</v>
      </c>
      <c r="C43" s="49" t="s">
        <v>228</v>
      </c>
      <c r="D43" s="55">
        <v>300</v>
      </c>
      <c r="E43" s="74">
        <f>IFERROR(VLOOKUP($C43,'① 식재료 단가'!$B$6:$G$123,6,FALSE),0)</f>
      </c>
      <c r="F43" s="57">
        <f>ROUND($D43*$E43,2)</f>
      </c>
    </row>
    <row r="44" spans="1:6" x14ac:dyDescent="0.25">
      <c r="A44" s="49" t="s">
        <v>225</v>
      </c>
      <c r="B44" s="63" t="s">
        <v>204</v>
      </c>
      <c r="C44" s="49" t="s">
        <v>425</v>
      </c>
      <c r="D44" s="55">
        <v>30</v>
      </c>
      <c r="E44" s="74">
        <f>IFERROR(VLOOKUP($C44,'① 식재료 단가'!$B$6:$G$123,6,FALSE),0)</f>
      </c>
      <c r="F44" s="57">
        <f>ROUND($D44*$E44,2)</f>
      </c>
    </row>
    <row r="45" spans="1:6" x14ac:dyDescent="0.25">
      <c r="A45" s="49" t="s">
        <v>225</v>
      </c>
      <c r="B45" s="63" t="s">
        <v>204</v>
      </c>
      <c r="C45" s="49" t="s">
        <v>217</v>
      </c>
      <c r="D45" s="55">
        <v>100</v>
      </c>
      <c r="E45" s="74">
        <f>IFERROR(VLOOKUP($C45,'① 식재료 단가'!$B$6:$G$123,6,FALSE),0)</f>
      </c>
      <c r="F45" s="57">
        <f>ROUND($D45*$E45,2)</f>
      </c>
    </row>
    <row r="46" spans="1:6" x14ac:dyDescent="0.25">
      <c r="A46" s="49" t="s">
        <v>225</v>
      </c>
      <c r="B46" s="63" t="s">
        <v>204</v>
      </c>
      <c r="C46" s="49" t="s">
        <v>216</v>
      </c>
      <c r="D46" s="55">
        <v>200</v>
      </c>
      <c r="E46" s="74">
        <f>IFERROR(VLOOKUP($C46,'① 식재료 단가'!$B$6:$G$123,6,FALSE),0)</f>
      </c>
      <c r="F46" s="57">
        <f>ROUND($D46*$E46,2)</f>
      </c>
    </row>
    <row r="47" spans="1:6" x14ac:dyDescent="0.25">
      <c r="A47" s="44" t="s">
        <v>407</v>
      </c>
      <c r="B47" s="53" t="s">
        <v>204</v>
      </c>
      <c r="C47" s="44" t="s">
        <v>228</v>
      </c>
      <c r="D47" s="55">
        <v>1000</v>
      </c>
      <c r="E47" s="74">
        <f>IFERROR(VLOOKUP($C47,'① 식재료 단가'!$B$6:$G$123,6,FALSE),0)</f>
      </c>
      <c r="F47" s="57">
        <f>ROUND($D47*$E47,2)</f>
      </c>
    </row>
    <row r="48" spans="1:6" x14ac:dyDescent="0.25">
      <c r="A48" s="44" t="s">
        <v>407</v>
      </c>
      <c r="B48" s="53" t="s">
        <v>204</v>
      </c>
      <c r="C48" s="44" t="s">
        <v>217</v>
      </c>
      <c r="D48" s="55">
        <v>200</v>
      </c>
      <c r="E48" s="74">
        <f>IFERROR(VLOOKUP($C48,'① 식재료 단가'!$B$6:$G$123,6,FALSE),0)</f>
      </c>
      <c r="F48" s="57">
        <f>ROUND($D48*$E48,2)</f>
      </c>
    </row>
    <row r="49" spans="1:6" x14ac:dyDescent="0.25">
      <c r="A49" s="49" t="s">
        <v>297</v>
      </c>
      <c r="B49" s="63" t="s">
        <v>204</v>
      </c>
      <c r="C49" s="49" t="s">
        <v>485</v>
      </c>
      <c r="D49" s="55">
        <v>1000</v>
      </c>
      <c r="E49" s="74">
        <f>IFERROR(VLOOKUP($C49,'① 식재료 단가'!$B$6:$G$123,6,FALSE),0)</f>
      </c>
      <c r="F49" s="57">
        <f>ROUND($D49*$E49,2)</f>
      </c>
    </row>
    <row r="50" spans="1:6" x14ac:dyDescent="0.25">
      <c r="A50" s="49" t="s">
        <v>297</v>
      </c>
      <c r="B50" s="63" t="s">
        <v>204</v>
      </c>
      <c r="C50" s="49" t="s">
        <v>241</v>
      </c>
      <c r="D50" s="55">
        <v>200</v>
      </c>
      <c r="E50" s="74">
        <f>IFERROR(VLOOKUP($C50,'① 식재료 단가'!$B$6:$G$123,6,FALSE),0)</f>
      </c>
      <c r="F50" s="57">
        <f>ROUND($D50*$E50,2)</f>
      </c>
    </row>
    <row r="51" spans="1:6" x14ac:dyDescent="0.25">
      <c r="A51" s="49" t="s">
        <v>297</v>
      </c>
      <c r="B51" s="63" t="s">
        <v>204</v>
      </c>
      <c r="C51" s="49" t="s">
        <v>300</v>
      </c>
      <c r="D51" s="55">
        <v>100</v>
      </c>
      <c r="E51" s="74">
        <f>IFERROR(VLOOKUP($C51,'① 식재료 단가'!$B$6:$G$123,6,FALSE),0)</f>
      </c>
      <c r="F51" s="57">
        <f>ROUND($D51*$E51,2)</f>
      </c>
    </row>
    <row r="52" spans="1:6" x14ac:dyDescent="0.25">
      <c r="A52" s="49" t="s">
        <v>297</v>
      </c>
      <c r="B52" s="63" t="s">
        <v>204</v>
      </c>
      <c r="C52" s="49" t="s">
        <v>212</v>
      </c>
      <c r="D52" s="55">
        <v>50</v>
      </c>
      <c r="E52" s="74">
        <f>IFERROR(VLOOKUP($C52,'① 식재료 단가'!$B$6:$G$123,6,FALSE),0)</f>
      </c>
      <c r="F52" s="57">
        <f>ROUND($D52*$E52,2)</f>
      </c>
    </row>
    <row r="53" spans="1:6" x14ac:dyDescent="0.25">
      <c r="A53" s="49" t="s">
        <v>297</v>
      </c>
      <c r="B53" s="63" t="s">
        <v>204</v>
      </c>
      <c r="C53" s="49" t="s">
        <v>216</v>
      </c>
      <c r="D53" s="55">
        <v>50</v>
      </c>
      <c r="E53" s="74">
        <f>IFERROR(VLOOKUP($C53,'① 식재료 단가'!$B$6:$G$123,6,FALSE),0)</f>
      </c>
      <c r="F53" s="57">
        <f>ROUND($D53*$E53,2)</f>
      </c>
    </row>
    <row r="54" spans="1:6" x14ac:dyDescent="0.25">
      <c r="A54" s="49" t="s">
        <v>297</v>
      </c>
      <c r="B54" s="63" t="s">
        <v>204</v>
      </c>
      <c r="C54" s="49" t="s">
        <v>327</v>
      </c>
      <c r="D54" s="55">
        <v>50</v>
      </c>
      <c r="E54" s="74">
        <f>IFERROR(VLOOKUP($C54,'① 식재료 단가'!$B$6:$G$123,6,FALSE),0)</f>
      </c>
      <c r="F54" s="57">
        <f>ROUND($D54*$E54,2)</f>
      </c>
    </row>
    <row r="55" spans="1:6" x14ac:dyDescent="0.25">
      <c r="A55" s="49" t="s">
        <v>297</v>
      </c>
      <c r="B55" s="63" t="s">
        <v>204</v>
      </c>
      <c r="C55" s="49" t="s">
        <v>343</v>
      </c>
      <c r="D55" s="55">
        <v>50</v>
      </c>
      <c r="E55" s="74">
        <f>IFERROR(VLOOKUP($C55,'① 식재료 단가'!$B$6:$G$123,6,FALSE),0)</f>
      </c>
      <c r="F55" s="57">
        <f>ROUND($D55*$E55,2)</f>
      </c>
    </row>
    <row r="56" spans="1:6" x14ac:dyDescent="0.25">
      <c r="A56" s="49" t="s">
        <v>297</v>
      </c>
      <c r="B56" s="63" t="s">
        <v>204</v>
      </c>
      <c r="C56" s="49" t="s">
        <v>328</v>
      </c>
      <c r="D56" s="55">
        <v>50</v>
      </c>
      <c r="E56" s="74">
        <f>IFERROR(VLOOKUP($C56,'① 식재료 단가'!$B$6:$G$123,6,FALSE),0)</f>
      </c>
      <c r="F56" s="57">
        <f>ROUND($D56*$E56,2)</f>
      </c>
    </row>
    <row r="57" spans="1:6" x14ac:dyDescent="0.25">
      <c r="A57" s="49" t="s">
        <v>297</v>
      </c>
      <c r="B57" s="63" t="s">
        <v>204</v>
      </c>
      <c r="C57" s="49" t="s">
        <v>301</v>
      </c>
      <c r="D57" s="55">
        <v>50</v>
      </c>
      <c r="E57" s="74">
        <f>IFERROR(VLOOKUP($C57,'① 식재료 단가'!$B$6:$G$123,6,FALSE),0)</f>
      </c>
      <c r="F57" s="57">
        <f>ROUND($D57*$E57,2)</f>
      </c>
    </row>
    <row r="58" spans="1:6" x14ac:dyDescent="0.25">
      <c r="A58" s="44" t="s">
        <v>519</v>
      </c>
      <c r="B58" s="53" t="s">
        <v>204</v>
      </c>
      <c r="C58" s="44" t="s">
        <v>300</v>
      </c>
      <c r="D58" s="55">
        <v>500</v>
      </c>
      <c r="E58" s="74">
        <f>IFERROR(VLOOKUP($C58,'① 식재료 단가'!$B$6:$G$123,6,FALSE),0)</f>
      </c>
      <c r="F58" s="57">
        <f>ROUND($D58*$E58,2)</f>
      </c>
    </row>
    <row r="59" spans="1:6" x14ac:dyDescent="0.25">
      <c r="A59" s="44" t="s">
        <v>519</v>
      </c>
      <c r="B59" s="53" t="s">
        <v>204</v>
      </c>
      <c r="C59" s="44" t="s">
        <v>234</v>
      </c>
      <c r="D59" s="55">
        <v>500</v>
      </c>
      <c r="E59" s="74">
        <f>IFERROR(VLOOKUP($C59,'① 식재료 단가'!$B$6:$G$123,6,FALSE),0)</f>
      </c>
      <c r="F59" s="57">
        <f>ROUND($D59*$E59,2)</f>
      </c>
    </row>
    <row r="60" spans="1:6" x14ac:dyDescent="0.25">
      <c r="A60" s="49" t="s">
        <v>348</v>
      </c>
      <c r="B60" s="63" t="s">
        <v>204</v>
      </c>
      <c r="C60" s="49" t="s">
        <v>359</v>
      </c>
      <c r="D60" s="55">
        <v>10</v>
      </c>
      <c r="E60" s="74">
        <f>IFERROR(VLOOKUP($C60,'① 식재료 단가'!$B$6:$G$123,6,FALSE),0)</f>
      </c>
      <c r="F60" s="57">
        <f>ROUND($D60*$E60,2)</f>
      </c>
    </row>
    <row r="61" spans="1:6" x14ac:dyDescent="0.25">
      <c r="A61" s="49" t="s">
        <v>348</v>
      </c>
      <c r="B61" s="63" t="s">
        <v>204</v>
      </c>
      <c r="C61" s="49" t="s">
        <v>279</v>
      </c>
      <c r="D61" s="55">
        <v>5</v>
      </c>
      <c r="E61" s="74">
        <f>IFERROR(VLOOKUP($C61,'① 식재료 단가'!$B$6:$G$123,6,FALSE),0)</f>
      </c>
      <c r="F61" s="57">
        <f>ROUND($D61*$E61,2)</f>
      </c>
    </row>
    <row r="62" spans="1:6" x14ac:dyDescent="0.25">
      <c r="A62" s="49" t="s">
        <v>348</v>
      </c>
      <c r="B62" s="63" t="s">
        <v>204</v>
      </c>
      <c r="C62" s="49" t="s">
        <v>334</v>
      </c>
      <c r="D62" s="55">
        <v>5</v>
      </c>
      <c r="E62" s="74">
        <f>IFERROR(VLOOKUP($C62,'① 식재료 단가'!$B$6:$G$123,6,FALSE),0)</f>
      </c>
      <c r="F62" s="57">
        <f>ROUND($D62*$E62,2)</f>
      </c>
    </row>
    <row r="63" spans="1:6" x14ac:dyDescent="0.25">
      <c r="A63" s="49" t="s">
        <v>348</v>
      </c>
      <c r="B63" s="63" t="s">
        <v>204</v>
      </c>
      <c r="C63" s="49" t="s">
        <v>248</v>
      </c>
      <c r="D63" s="55">
        <v>5</v>
      </c>
      <c r="E63" s="74">
        <f>IFERROR(VLOOKUP($C63,'① 식재료 단가'!$B$6:$G$123,6,FALSE),0)</f>
      </c>
      <c r="F63" s="57">
        <f>ROUND($D63*$E63,2)</f>
      </c>
    </row>
    <row r="64" spans="1:6" x14ac:dyDescent="0.25">
      <c r="A64" s="49" t="s">
        <v>348</v>
      </c>
      <c r="B64" s="63" t="s">
        <v>204</v>
      </c>
      <c r="C64" s="49" t="s">
        <v>287</v>
      </c>
      <c r="D64" s="55">
        <v>5</v>
      </c>
      <c r="E64" s="74">
        <f>IFERROR(VLOOKUP($C64,'① 식재료 단가'!$B$6:$G$123,6,FALSE),0)</f>
      </c>
      <c r="F64" s="57">
        <f>ROUND($D64*$E64,2)</f>
      </c>
    </row>
    <row r="65" spans="1:6" x14ac:dyDescent="0.25">
      <c r="A65" s="49" t="s">
        <v>348</v>
      </c>
      <c r="B65" s="63" t="s">
        <v>204</v>
      </c>
      <c r="C65" s="49" t="s">
        <v>283</v>
      </c>
      <c r="D65" s="55">
        <v>3</v>
      </c>
      <c r="E65" s="74">
        <f>IFERROR(VLOOKUP($C65,'① 식재료 단가'!$B$6:$G$123,6,FALSE),0)</f>
      </c>
      <c r="F65" s="57">
        <f>ROUND($D65*$E65,2)</f>
      </c>
    </row>
    <row r="66" spans="1:6" x14ac:dyDescent="0.25">
      <c r="A66" s="49" t="s">
        <v>348</v>
      </c>
      <c r="B66" s="63" t="s">
        <v>204</v>
      </c>
      <c r="C66" s="49" t="s">
        <v>216</v>
      </c>
      <c r="D66" s="55">
        <v>5</v>
      </c>
      <c r="E66" s="74">
        <f>IFERROR(VLOOKUP($C66,'① 식재료 단가'!$B$6:$G$123,6,FALSE),0)</f>
      </c>
      <c r="F66" s="57">
        <f>ROUND($D66*$E66,2)</f>
      </c>
    </row>
    <row r="67" spans="1:6" x14ac:dyDescent="0.25">
      <c r="A67" s="44" t="s">
        <v>260</v>
      </c>
      <c r="B67" s="53" t="s">
        <v>204</v>
      </c>
      <c r="C67" s="44" t="s">
        <v>248</v>
      </c>
      <c r="D67" s="55">
        <v>200</v>
      </c>
      <c r="E67" s="74">
        <f>IF($B67="프렙",IFERROR(VLOOKUP($C67,'② 프렙 원가'!$B$6:$F$13,5,FALSE),0),IFERROR(VLOOKUP($C67,'① 식재료 단가'!$B$6:$G$123,6,FALSE),0))</f>
      </c>
      <c r="F67" s="57">
        <f>ROUND($D67*$E67,2)</f>
      </c>
    </row>
    <row r="68" spans="1:6" x14ac:dyDescent="0.25">
      <c r="A68" s="44" t="s">
        <v>260</v>
      </c>
      <c r="B68" s="53" t="s">
        <v>209</v>
      </c>
      <c r="C68" s="44" t="s">
        <v>407</v>
      </c>
      <c r="D68" s="55">
        <v>1000</v>
      </c>
      <c r="E68" s="74">
        <f>IF($B68="프렙",IFERROR(VLOOKUP($C68,'② 프렙 원가'!$B$6:$F$13,5,FALSE),0),IFERROR(VLOOKUP($C68,'① 식재료 단가'!$B$6:$G$123,6,FALSE),0))</f>
      </c>
      <c r="F68" s="57">
        <f>ROUND($D68*$E68,2)</f>
      </c>
    </row>
    <row r="69" spans="1:6" x14ac:dyDescent="0.25">
      <c r="A69" s="44" t="s">
        <v>260</v>
      </c>
      <c r="B69" s="53" t="s">
        <v>204</v>
      </c>
      <c r="C69" s="44" t="s">
        <v>343</v>
      </c>
      <c r="D69" s="55">
        <v>100</v>
      </c>
      <c r="E69" s="74">
        <f>IF($B69="프렙",IFERROR(VLOOKUP($C69,'② 프렙 원가'!$B$6:$F$13,5,FALSE),0),IFERROR(VLOOKUP($C69,'① 식재료 단가'!$B$6:$G$123,6,FALSE),0))</f>
      </c>
      <c r="F69" s="57">
        <f>ROUND($D69*$E69,2)</f>
      </c>
    </row>
    <row r="70" spans="1:6" x14ac:dyDescent="0.25">
      <c r="A70" s="44" t="s">
        <v>260</v>
      </c>
      <c r="B70" s="53" t="s">
        <v>204</v>
      </c>
      <c r="C70" s="44" t="s">
        <v>328</v>
      </c>
      <c r="D70" s="55">
        <v>100</v>
      </c>
      <c r="E70" s="74">
        <f>IF($B70="프렙",IFERROR(VLOOKUP($C70,'② 프렙 원가'!$B$6:$F$13,5,FALSE),0),IFERROR(VLOOKUP($C70,'① 식재료 단가'!$B$6:$G$123,6,FALSE),0))</f>
      </c>
      <c r="F70" s="57">
        <f>ROUND($D70*$E70,2)</f>
      </c>
    </row>
    <row r="71" spans="1:6" x14ac:dyDescent="0.25">
      <c r="A71" s="44" t="s">
        <v>260</v>
      </c>
      <c r="B71" s="53" t="s">
        <v>204</v>
      </c>
      <c r="C71" s="44" t="s">
        <v>327</v>
      </c>
      <c r="D71" s="55">
        <v>100</v>
      </c>
      <c r="E71" s="74">
        <f>IF($B71="프렙",IFERROR(VLOOKUP($C71,'② 프렙 원가'!$B$6:$F$13,5,FALSE),0),IFERROR(VLOOKUP($C71,'① 식재료 단가'!$B$6:$G$123,6,FALSE),0))</f>
      </c>
      <c r="F71" s="57">
        <f>ROUND($D71*$E71,2)</f>
      </c>
    </row>
    <row r="72" spans="1:6" x14ac:dyDescent="0.25">
      <c r="A72" s="44" t="s">
        <v>260</v>
      </c>
      <c r="B72" s="53" t="s">
        <v>204</v>
      </c>
      <c r="C72" s="44" t="s">
        <v>283</v>
      </c>
      <c r="D72" s="55">
        <v>50</v>
      </c>
      <c r="E72" s="74">
        <f>IF($B72="프렙",IFERROR(VLOOKUP($C72,'② 프렙 원가'!$B$6:$F$13,5,FALSE),0),IFERROR(VLOOKUP($C72,'① 식재료 단가'!$B$6:$G$123,6,FALSE),0))</f>
      </c>
      <c r="F72" s="57">
        <f>ROUND($D72*$E72,2)</f>
      </c>
    </row>
    <row r="73" spans="1:6" x14ac:dyDescent="0.25">
      <c r="A73" s="44" t="s">
        <v>260</v>
      </c>
      <c r="B73" s="53" t="s">
        <v>204</v>
      </c>
      <c r="C73" s="44" t="s">
        <v>300</v>
      </c>
      <c r="D73" s="55">
        <v>200</v>
      </c>
      <c r="E73" s="74">
        <f>IF($B73="프렙",IFERROR(VLOOKUP($C73,'② 프렙 원가'!$B$6:$F$13,5,FALSE),0),IFERROR(VLOOKUP($C73,'① 식재료 단가'!$B$6:$G$123,6,FALSE),0))</f>
      </c>
      <c r="F73" s="57">
        <f>ROUND($D73*$E73,2)</f>
      </c>
    </row>
    <row r="74" spans="1:6" x14ac:dyDescent="0.25">
      <c r="A74" s="44" t="s">
        <v>260</v>
      </c>
      <c r="B74" s="53" t="s">
        <v>204</v>
      </c>
      <c r="C74" s="44" t="s">
        <v>234</v>
      </c>
      <c r="D74" s="55">
        <v>200</v>
      </c>
      <c r="E74" s="74">
        <f>IF($B74="프렙",IFERROR(VLOOKUP($C74,'② 프렙 원가'!$B$6:$F$13,5,FALSE),0),IFERROR(VLOOKUP($C74,'① 식재료 단가'!$B$6:$G$123,6,FALSE),0))</f>
      </c>
      <c r="F74" s="57">
        <f>ROUND($D74*$E74,2)</f>
      </c>
    </row>
    <row r="75" spans="1:6" x14ac:dyDescent="0.25">
      <c r="A75" s="44" t="s">
        <v>260</v>
      </c>
      <c r="B75" s="53" t="s">
        <v>204</v>
      </c>
      <c r="C75" s="44" t="s">
        <v>287</v>
      </c>
      <c r="D75" s="55">
        <v>25</v>
      </c>
      <c r="E75" s="74">
        <f>IF($B75="프렙",IFERROR(VLOOKUP($C75,'② 프렙 원가'!$B$6:$F$13,5,FALSE),0),IFERROR(VLOOKUP($C75,'① 식재료 단가'!$B$6:$G$123,6,FALSE),0))</f>
      </c>
      <c r="F75" s="57">
        <f>ROUND($D75*$E75,2)</f>
      </c>
    </row>
    <row r="76" spans="1:6" x14ac:dyDescent="0.25">
      <c r="A76" s="44" t="s">
        <v>260</v>
      </c>
      <c r="B76" s="53" t="s">
        <v>204</v>
      </c>
      <c r="C76" s="44" t="s">
        <v>238</v>
      </c>
      <c r="D76" s="55">
        <v>20</v>
      </c>
      <c r="E76" s="74">
        <f>IF($B76="프렙",IFERROR(VLOOKUP($C76,'② 프렙 원가'!$B$6:$F$13,5,FALSE),0),IFERROR(VLOOKUP($C76,'① 식재료 단가'!$B$6:$G$123,6,FALSE),0))</f>
      </c>
      <c r="F76" s="57">
        <f>ROUND($D76*$E76,2)</f>
      </c>
    </row>
    <row r="77" spans="1:6" x14ac:dyDescent="0.25">
      <c r="A77" s="44" t="s">
        <v>260</v>
      </c>
      <c r="B77" s="53" t="s">
        <v>204</v>
      </c>
      <c r="C77" s="44" t="s">
        <v>217</v>
      </c>
      <c r="D77" s="55">
        <v>50</v>
      </c>
      <c r="E77" s="74">
        <f>IF($B77="프렙",IFERROR(VLOOKUP($C77,'② 프렙 원가'!$B$6:$F$13,5,FALSE),0),IFERROR(VLOOKUP($C77,'① 식재료 단가'!$B$6:$G$123,6,FALSE),0))</f>
      </c>
      <c r="F77" s="57">
        <f>ROUND($D77*$E77,2)</f>
      </c>
    </row>
    <row r="78" spans="1:6" x14ac:dyDescent="0.25">
      <c r="A78" s="49" t="s">
        <v>520</v>
      </c>
      <c r="B78" s="63" t="s">
        <v>204</v>
      </c>
      <c r="C78" s="49" t="s">
        <v>253</v>
      </c>
      <c r="D78" s="55">
        <v>500</v>
      </c>
      <c r="E78" s="74">
        <f>IF($B78="프렙",IFERROR(VLOOKUP($C78,'② 프렙 원가'!$B$6:$F$13,5,FALSE),0),IFERROR(VLOOKUP($C78,'① 식재료 단가'!$B$6:$G$123,6,FALSE),0))</f>
      </c>
      <c r="F78" s="57">
        <f>ROUND($D78*$E78,2)</f>
      </c>
    </row>
    <row r="79" spans="1:6" x14ac:dyDescent="0.25">
      <c r="A79" s="49" t="s">
        <v>520</v>
      </c>
      <c r="B79" s="63" t="s">
        <v>204</v>
      </c>
      <c r="C79" s="49" t="s">
        <v>300</v>
      </c>
      <c r="D79" s="55">
        <v>100</v>
      </c>
      <c r="E79" s="74">
        <f>IF($B79="프렙",IFERROR(VLOOKUP($C79,'② 프렙 원가'!$B$6:$F$13,5,FALSE),0),IFERROR(VLOOKUP($C79,'① 식재료 단가'!$B$6:$G$123,6,FALSE),0))</f>
      </c>
      <c r="F79" s="57">
        <f>ROUND($D79*$E79,2)</f>
      </c>
    </row>
    <row r="80" spans="1:6" x14ac:dyDescent="0.25">
      <c r="A80" s="49" t="s">
        <v>520</v>
      </c>
      <c r="B80" s="63" t="s">
        <v>204</v>
      </c>
      <c r="C80" s="49" t="s">
        <v>243</v>
      </c>
      <c r="D80" s="55">
        <v>30</v>
      </c>
      <c r="E80" s="74">
        <f>IF($B80="프렙",IFERROR(VLOOKUP($C80,'② 프렙 원가'!$B$6:$F$13,5,FALSE),0),IFERROR(VLOOKUP($C80,'① 식재료 단가'!$B$6:$G$123,6,FALSE),0))</f>
      </c>
      <c r="F80" s="57">
        <f>ROUND($D80*$E80,2)</f>
      </c>
    </row>
    <row r="81" spans="1:6" x14ac:dyDescent="0.25">
      <c r="A81" s="49" t="s">
        <v>520</v>
      </c>
      <c r="B81" s="63" t="s">
        <v>204</v>
      </c>
      <c r="C81" s="49" t="s">
        <v>283</v>
      </c>
      <c r="D81" s="55">
        <v>10</v>
      </c>
      <c r="E81" s="74">
        <f>IF($B81="프렙",IFERROR(VLOOKUP($C81,'② 프렙 원가'!$B$6:$F$13,5,FALSE),0),IFERROR(VLOOKUP($C81,'① 식재료 단가'!$B$6:$G$123,6,FALSE),0))</f>
      </c>
      <c r="F81" s="57">
        <f>ROUND($D81*$E81,2)</f>
      </c>
    </row>
    <row r="82" spans="1:6" x14ac:dyDescent="0.25">
      <c r="A82" s="49" t="s">
        <v>520</v>
      </c>
      <c r="B82" s="63" t="s">
        <v>204</v>
      </c>
      <c r="C82" s="49" t="s">
        <v>216</v>
      </c>
      <c r="D82" s="55">
        <v>10</v>
      </c>
      <c r="E82" s="74">
        <f>IF($B82="프렙",IFERROR(VLOOKUP($C82,'② 프렙 원가'!$B$6:$F$13,5,FALSE),0),IFERROR(VLOOKUP($C82,'① 식재료 단가'!$B$6:$G$123,6,FALSE),0))</f>
      </c>
      <c r="F82" s="57">
        <f>ROUND($D82*$E82,2)</f>
      </c>
    </row>
    <row r="83" spans="1:6" x14ac:dyDescent="0.25">
      <c r="A83" s="49" t="s">
        <v>520</v>
      </c>
      <c r="B83" s="63" t="s">
        <v>204</v>
      </c>
      <c r="C83" s="49" t="s">
        <v>287</v>
      </c>
      <c r="D83" s="55">
        <v>15</v>
      </c>
      <c r="E83" s="74">
        <f>IF($B83="프렙",IFERROR(VLOOKUP($C83,'② 프렙 원가'!$B$6:$F$13,5,FALSE),0),IFERROR(VLOOKUP($C83,'① 식재료 단가'!$B$6:$G$123,6,FALSE),0))</f>
      </c>
      <c r="F83" s="57">
        <f>ROUND($D83*$E83,2)</f>
      </c>
    </row>
    <row r="84" spans="1:6" x14ac:dyDescent="0.25">
      <c r="A84" s="49" t="s">
        <v>520</v>
      </c>
      <c r="B84" s="63" t="s">
        <v>209</v>
      </c>
      <c r="C84" s="49" t="s">
        <v>407</v>
      </c>
      <c r="D84" s="55">
        <v>150</v>
      </c>
      <c r="E84" s="74">
        <f>IF($B84="프렙",IFERROR(VLOOKUP($C84,'② 프렙 원가'!$B$6:$F$13,5,FALSE),0),IFERROR(VLOOKUP($C84,'① 식재료 단가'!$B$6:$G$123,6,FALSE),0))</f>
      </c>
      <c r="F84" s="57">
        <f>ROUND($D84*$E84,2)</f>
      </c>
    </row>
    <row r="85" spans="1:6" x14ac:dyDescent="0.25">
      <c r="A85" s="49" t="s">
        <v>520</v>
      </c>
      <c r="B85" s="63" t="s">
        <v>204</v>
      </c>
      <c r="C85" s="49" t="s">
        <v>234</v>
      </c>
      <c r="D85" s="55">
        <v>100</v>
      </c>
      <c r="E85" s="74">
        <f>IF($B85="프렙",IFERROR(VLOOKUP($C85,'② 프렙 원가'!$B$6:$F$13,5,FALSE),0),IFERROR(VLOOKUP($C85,'① 식재료 단가'!$B$6:$G$123,6,FALSE),0))</f>
      </c>
      <c r="F85" s="57">
        <f>ROUND($D85*$E85,2)</f>
      </c>
    </row>
    <row r="86" spans="1:6" x14ac:dyDescent="0.25">
      <c r="A86" s="44" t="s">
        <v>521</v>
      </c>
      <c r="B86" s="53" t="s">
        <v>204</v>
      </c>
      <c r="C86" s="44" t="s">
        <v>501</v>
      </c>
      <c r="D86" s="55">
        <v>200</v>
      </c>
      <c r="E86" s="74">
        <f>IF($B86="프렙",IFERROR(VLOOKUP($C86,'② 프렙 원가'!$B$6:$F$13,5,FALSE),0),IFERROR(VLOOKUP($C86,'① 식재료 단가'!$B$6:$G$123,6,FALSE),0))</f>
      </c>
      <c r="F86" s="57">
        <f>ROUND($D86*$E86,2)</f>
      </c>
    </row>
    <row r="87" spans="1:6" x14ac:dyDescent="0.25">
      <c r="A87" s="44" t="s">
        <v>521</v>
      </c>
      <c r="B87" s="53" t="s">
        <v>209</v>
      </c>
      <c r="C87" s="44" t="s">
        <v>407</v>
      </c>
      <c r="D87" s="55">
        <v>1000</v>
      </c>
      <c r="E87" s="74">
        <f>IF($B87="프렙",IFERROR(VLOOKUP($C87,'② 프렙 원가'!$B$6:$F$13,5,FALSE),0),IFERROR(VLOOKUP($C87,'① 식재료 단가'!$B$6:$G$123,6,FALSE),0))</f>
      </c>
      <c r="F87" s="57">
        <f>ROUND($D87*$E87,2)</f>
      </c>
    </row>
    <row r="88" spans="1:6" x14ac:dyDescent="0.25">
      <c r="A88" s="44" t="s">
        <v>521</v>
      </c>
      <c r="B88" s="53" t="s">
        <v>204</v>
      </c>
      <c r="C88" s="44" t="s">
        <v>217</v>
      </c>
      <c r="D88" s="55">
        <v>200</v>
      </c>
      <c r="E88" s="74">
        <f>IF($B88="프렙",IFERROR(VLOOKUP($C88,'② 프렙 원가'!$B$6:$F$13,5,FALSE),0),IFERROR(VLOOKUP($C88,'① 식재료 단가'!$B$6:$G$123,6,FALSE),0))</f>
      </c>
      <c r="F88" s="57">
        <f>ROUND($D88*$E88,2)</f>
      </c>
    </row>
    <row r="89" spans="1:6" x14ac:dyDescent="0.25">
      <c r="A89" s="44" t="s">
        <v>521</v>
      </c>
      <c r="B89" s="53" t="s">
        <v>396</v>
      </c>
      <c r="C89" s="44" t="s">
        <v>397</v>
      </c>
      <c r="D89" s="55">
        <v>800</v>
      </c>
      <c r="E89" s="74">
        <f>IF($B89="프렙",IFERROR(VLOOKUP($C89,'② 프렙 원가'!$B$6:$F$13,5,FALSE),0),IFERROR(VLOOKUP($C89,'① 식재료 단가'!$B$6:$G$123,6,FALSE),0))</f>
      </c>
      <c r="F89" s="57">
        <f>ROUND($D89*$E89,2)</f>
      </c>
    </row>
  </sheetData>
  <autoFilter ref="A20:F89"/>
  <mergeCells count="4">
    <mergeCell ref="A1:H1"/>
    <mergeCell ref="A2:H2"/>
    <mergeCell ref="A3:H3"/>
    <mergeCell ref="A18:H18"/>
  </mergeCells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workbookViewId="0" showGridLines="0"/>
  </sheetViews>
  <sheetFormatPr defaultRowHeight="19" outlineLevelRow="0" outlineLevelCol="0" x14ac:dyDescent="55" customHeight="1"/>
  <cols>
    <col min="1" max="1" width="6" customWidth="1"/>
    <col min="2" max="2" width="26" customWidth="1"/>
    <col min="3" max="3" width="16" customWidth="1"/>
    <col min="4" max="4" width="14" customWidth="1"/>
    <col min="5" max="5" width="62" customWidth="1"/>
  </cols>
  <sheetData>
    <row r="1" ht="34" customHeight="1" spans="1:5" x14ac:dyDescent="0.25">
      <c r="A1" s="1" t="s">
        <v>7</v>
      </c>
      <c r="B1" s="1"/>
      <c r="C1" s="1"/>
      <c r="D1" s="1"/>
      <c r="E1" s="1"/>
    </row>
    <row r="2" ht="22" customHeight="1" spans="1:5" x14ac:dyDescent="0.25">
      <c r="A2" s="2" t="s">
        <v>525</v>
      </c>
      <c r="B2" s="2"/>
      <c r="C2" s="2"/>
      <c r="D2" s="2"/>
      <c r="E2" s="2"/>
    </row>
    <row r="3" ht="22" customHeight="1" spans="1:5" x14ac:dyDescent="0.25">
      <c r="A3" s="52" t="s">
        <v>526</v>
      </c>
      <c r="B3" s="52"/>
      <c r="C3" s="52"/>
      <c r="D3" s="52"/>
      <c r="E3" s="52"/>
    </row>
    <row r="5" ht="26" customHeight="1" spans="1:5" x14ac:dyDescent="0.25">
      <c r="A5" s="30" t="s">
        <v>96</v>
      </c>
      <c r="B5" s="30" t="s">
        <v>527</v>
      </c>
      <c r="C5" s="30" t="s">
        <v>528</v>
      </c>
      <c r="D5" s="30" t="s">
        <v>529</v>
      </c>
      <c r="E5" s="30" t="s">
        <v>530</v>
      </c>
    </row>
    <row r="6" spans="1:5" x14ac:dyDescent="0.25">
      <c r="A6" s="53">
        <v>1</v>
      </c>
      <c r="B6" s="44" t="s">
        <v>531</v>
      </c>
      <c r="C6" s="55">
        <v>12000000</v>
      </c>
      <c r="D6" s="88" t="s">
        <v>532</v>
      </c>
      <c r="E6" s="54" t="s">
        <v>533</v>
      </c>
    </row>
    <row r="7" spans="1:5" x14ac:dyDescent="0.25">
      <c r="A7" s="63">
        <v>2</v>
      </c>
      <c r="B7" s="49" t="s">
        <v>534</v>
      </c>
      <c r="C7" s="55">
        <v>205800</v>
      </c>
      <c r="D7" s="88" t="s">
        <v>532</v>
      </c>
      <c r="E7" s="64" t="s">
        <v>535</v>
      </c>
    </row>
    <row r="8" spans="1:5" x14ac:dyDescent="0.25">
      <c r="A8" s="53">
        <v>3</v>
      </c>
      <c r="B8" s="44" t="s">
        <v>536</v>
      </c>
      <c r="C8" s="55">
        <v>2336970</v>
      </c>
      <c r="D8" s="88" t="s">
        <v>532</v>
      </c>
      <c r="E8" s="54" t="s">
        <v>537</v>
      </c>
    </row>
    <row r="9" spans="1:5" x14ac:dyDescent="0.25">
      <c r="A9" s="63">
        <v>4</v>
      </c>
      <c r="B9" s="49" t="s">
        <v>538</v>
      </c>
      <c r="C9" s="55">
        <v>783420</v>
      </c>
      <c r="D9" s="88" t="s">
        <v>532</v>
      </c>
      <c r="E9" s="64" t="s">
        <v>539</v>
      </c>
    </row>
    <row r="10" spans="1:5" x14ac:dyDescent="0.25">
      <c r="A10" s="53">
        <v>5</v>
      </c>
      <c r="B10" s="44" t="s">
        <v>540</v>
      </c>
      <c r="C10" s="55">
        <v>8800000</v>
      </c>
      <c r="D10" s="88" t="s">
        <v>532</v>
      </c>
      <c r="E10" s="54" t="s">
        <v>541</v>
      </c>
    </row>
    <row r="11" spans="1:5" x14ac:dyDescent="0.25">
      <c r="A11" s="63">
        <v>6</v>
      </c>
      <c r="B11" s="49" t="s">
        <v>542</v>
      </c>
      <c r="C11" s="55">
        <v>50000</v>
      </c>
      <c r="D11" s="88" t="s">
        <v>532</v>
      </c>
      <c r="E11" s="64" t="s">
        <v>543</v>
      </c>
    </row>
    <row r="12" spans="1:5" x14ac:dyDescent="0.25">
      <c r="A12" s="53">
        <v>7</v>
      </c>
      <c r="B12" s="44" t="s">
        <v>544</v>
      </c>
      <c r="C12" s="55">
        <v>3894139</v>
      </c>
      <c r="D12" s="88" t="s">
        <v>532</v>
      </c>
      <c r="E12" s="54" t="s">
        <v>545</v>
      </c>
    </row>
    <row r="13" spans="1:5" x14ac:dyDescent="0.25">
      <c r="A13" s="63">
        <v>8</v>
      </c>
      <c r="B13" s="49" t="s">
        <v>546</v>
      </c>
      <c r="C13" s="55">
        <v>17000000</v>
      </c>
      <c r="D13" s="88" t="s">
        <v>547</v>
      </c>
      <c r="E13" s="87" t="s">
        <v>548</v>
      </c>
    </row>
    <row r="14" spans="1:5" x14ac:dyDescent="0.25">
      <c r="A14" s="53">
        <v>9</v>
      </c>
      <c r="B14" s="44" t="s">
        <v>549</v>
      </c>
      <c r="C14" s="55">
        <v>204000</v>
      </c>
      <c r="D14" s="88" t="s">
        <v>532</v>
      </c>
      <c r="E14" s="54" t="s">
        <v>550</v>
      </c>
    </row>
    <row r="15" spans="1:5" x14ac:dyDescent="0.25">
      <c r="A15" s="63">
        <v>10</v>
      </c>
      <c r="B15" s="49" t="s">
        <v>551</v>
      </c>
      <c r="C15" s="55">
        <v>391270</v>
      </c>
      <c r="D15" s="88" t="s">
        <v>532</v>
      </c>
      <c r="E15" s="64" t="s">
        <v>552</v>
      </c>
    </row>
    <row r="16" spans="1:5" x14ac:dyDescent="0.25">
      <c r="A16" s="53">
        <v>11</v>
      </c>
      <c r="B16" s="44" t="s">
        <v>553</v>
      </c>
      <c r="C16" s="55">
        <v>703730</v>
      </c>
      <c r="D16" s="88" t="s">
        <v>532</v>
      </c>
      <c r="E16" s="54" t="s">
        <v>554</v>
      </c>
    </row>
    <row r="17" spans="1:5" x14ac:dyDescent="0.25">
      <c r="A17" s="63">
        <v>12</v>
      </c>
      <c r="B17" s="49" t="s">
        <v>555</v>
      </c>
      <c r="C17" s="55">
        <v>48950</v>
      </c>
      <c r="D17" s="88" t="s">
        <v>532</v>
      </c>
      <c r="E17" s="64" t="s">
        <v>556</v>
      </c>
    </row>
    <row r="18" spans="1:5" x14ac:dyDescent="0.25">
      <c r="A18" s="53">
        <v>13</v>
      </c>
      <c r="B18" s="44" t="s">
        <v>557</v>
      </c>
      <c r="C18" s="55">
        <v>256800</v>
      </c>
      <c r="D18" s="88" t="s">
        <v>547</v>
      </c>
      <c r="E18" s="86" t="s">
        <v>548</v>
      </c>
    </row>
    <row r="19" spans="1:5" x14ac:dyDescent="0.25">
      <c r="A19" s="89" t="s">
        <v>558</v>
      </c>
      <c r="B19" s="89"/>
      <c r="C19" s="90">
        <f>SUM(C6:C18)</f>
      </c>
      <c r="D19" s="91"/>
      <c r="E19" s="92" t="s">
        <v>559</v>
      </c>
    </row>
    <row r="20" spans="1:5" x14ac:dyDescent="0.25">
      <c r="A20" s="89" t="s">
        <v>560</v>
      </c>
      <c r="B20" s="89"/>
      <c r="C20" s="90">
        <f>SUMIF(D6:D18,"포함",C6:C18)</f>
      </c>
      <c r="D20" s="91"/>
      <c r="E20" s="92" t="s">
        <v>561</v>
      </c>
    </row>
    <row r="22" ht="24" customHeight="1" spans="1:5" x14ac:dyDescent="0.25">
      <c r="A22" s="3" t="s">
        <v>562</v>
      </c>
      <c r="B22" s="3"/>
      <c r="C22" s="3"/>
      <c r="D22" s="3"/>
      <c r="E22" s="3"/>
    </row>
    <row r="23" spans="1:5" x14ac:dyDescent="0.25">
      <c r="A23" s="93" t="s">
        <v>563</v>
      </c>
      <c r="B23" s="93"/>
      <c r="C23" s="88" t="s">
        <v>532</v>
      </c>
      <c r="D23" s="44"/>
      <c r="E23" s="54" t="s">
        <v>564</v>
      </c>
    </row>
    <row r="24" spans="1:5" x14ac:dyDescent="0.25">
      <c r="A24" s="93" t="s">
        <v>565</v>
      </c>
      <c r="B24" s="93"/>
      <c r="C24" s="73">
        <v>0.1</v>
      </c>
      <c r="D24" s="44"/>
      <c r="E24" s="54" t="s">
        <v>566</v>
      </c>
    </row>
    <row r="25" spans="1:5" x14ac:dyDescent="0.25">
      <c r="A25" s="93" t="s">
        <v>567</v>
      </c>
      <c r="B25" s="93"/>
      <c r="C25" s="94">
        <f>IF(C23="포함",1+C24,1)</f>
      </c>
      <c r="D25" s="44"/>
      <c r="E25" s="54" t="s">
        <v>568</v>
      </c>
    </row>
    <row r="26" spans="1:5" x14ac:dyDescent="0.25">
      <c r="A26" s="93" t="s">
        <v>569</v>
      </c>
      <c r="B26" s="93"/>
      <c r="C26" s="55">
        <v>70688000</v>
      </c>
      <c r="D26" s="44"/>
      <c r="E26" s="54" t="s">
        <v>570</v>
      </c>
    </row>
    <row r="27" spans="1:5" x14ac:dyDescent="0.25">
      <c r="A27" s="93" t="s">
        <v>571</v>
      </c>
      <c r="B27" s="93"/>
      <c r="C27" s="57">
        <f>ROUND(C26/C25,0)</f>
      </c>
      <c r="D27" s="44"/>
      <c r="E27" s="54" t="s">
        <v>572</v>
      </c>
    </row>
    <row r="28" spans="1:5" x14ac:dyDescent="0.25">
      <c r="A28" s="93" t="s">
        <v>62</v>
      </c>
      <c r="B28" s="93"/>
      <c r="C28" s="59">
        <f>IF(C27&gt;0,C20/C27,0)</f>
      </c>
      <c r="D28" s="44"/>
      <c r="E28" s="54" t="s">
        <v>573</v>
      </c>
    </row>
    <row r="29" spans="1:5" x14ac:dyDescent="0.25">
      <c r="A29" s="93" t="s">
        <v>574</v>
      </c>
      <c r="B29" s="93"/>
      <c r="C29" s="73">
        <v>0.3</v>
      </c>
      <c r="D29" s="44"/>
      <c r="E29" s="54" t="s">
        <v>575</v>
      </c>
    </row>
    <row r="30" spans="1:5" x14ac:dyDescent="0.25">
      <c r="A30" s="93" t="s">
        <v>576</v>
      </c>
      <c r="B30" s="93"/>
      <c r="C30" s="73">
        <v>0.38</v>
      </c>
      <c r="D30" s="44"/>
      <c r="E30" s="54" t="s">
        <v>577</v>
      </c>
    </row>
  </sheetData>
  <mergeCells count="14">
    <mergeCell ref="A1:E1"/>
    <mergeCell ref="A2:E2"/>
    <mergeCell ref="A3:E3"/>
    <mergeCell ref="A19:B19"/>
    <mergeCell ref="A20:B20"/>
    <mergeCell ref="A22:E22"/>
    <mergeCell ref="A23:B23"/>
    <mergeCell ref="A24:B24"/>
    <mergeCell ref="A25:B25"/>
    <mergeCell ref="A26:B26"/>
    <mergeCell ref="A27:B27"/>
    <mergeCell ref="A28:B28"/>
    <mergeCell ref="A29:B29"/>
    <mergeCell ref="A30:B30"/>
  </mergeCells>
  <dataValidations count="3">
    <dataValidation type="list" showErrorMessage="1" errorTitle="입력 오류" error="포함 또는 별도 중에서 선택하세요." sqref="C23">
      <formula1>"포함,별도"</formula1>
    </dataValidation>
    <dataValidation type="list" showErrorMessage="1" errorTitle="입력 오류" error="포함 또는 제외 중에서 선택하세요." sqref="D10:D18">
      <formula1>"포함,제외"</formula1>
    </dataValidation>
    <dataValidation type="list" showErrorMessage="1" errorTitle="입력 오류" error="포함 또는 제외 중에서 선택하세요." sqref="D6:D18">
      <formula1>"포함,제외"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workbookViewId="0" showGridLines="0"/>
  </sheetViews>
  <sheetFormatPr defaultRowHeight="19" outlineLevelRow="0" outlineLevelCol="0" x14ac:dyDescent="55" customHeight="1"/>
  <cols>
    <col min="1" max="1" width="6" customWidth="1"/>
    <col min="2" max="3" width="22" customWidth="1"/>
    <col min="4" max="4" width="28" customWidth="1"/>
    <col min="5" max="5" width="72" customWidth="1"/>
  </cols>
  <sheetData>
    <row r="1" ht="34" customHeight="1" spans="1:5" x14ac:dyDescent="0.25">
      <c r="A1" s="1" t="s">
        <v>578</v>
      </c>
      <c r="B1" s="1"/>
      <c r="C1" s="1"/>
      <c r="D1" s="1"/>
      <c r="E1" s="1"/>
    </row>
    <row r="2" ht="22" customHeight="1" spans="1:5" x14ac:dyDescent="0.25">
      <c r="A2" s="2" t="s">
        <v>579</v>
      </c>
      <c r="B2" s="2"/>
      <c r="C2" s="2"/>
      <c r="D2" s="2"/>
      <c r="E2" s="2"/>
    </row>
    <row r="4" ht="26" customHeight="1" spans="1:5" x14ac:dyDescent="0.25">
      <c r="A4" s="30" t="s">
        <v>96</v>
      </c>
      <c r="B4" s="30" t="s">
        <v>195</v>
      </c>
      <c r="C4" s="30" t="s">
        <v>580</v>
      </c>
      <c r="D4" s="30" t="s">
        <v>581</v>
      </c>
      <c r="E4" s="30" t="s">
        <v>582</v>
      </c>
    </row>
    <row r="5" spans="1:5" x14ac:dyDescent="0.25">
      <c r="A5" s="53">
        <v>1</v>
      </c>
      <c r="B5" s="95" t="s">
        <v>583</v>
      </c>
      <c r="C5" s="44" t="s">
        <v>106</v>
      </c>
      <c r="D5" s="44" t="s">
        <v>238</v>
      </c>
      <c r="E5" s="54" t="s">
        <v>584</v>
      </c>
    </row>
    <row r="6" spans="1:5" x14ac:dyDescent="0.25">
      <c r="A6" s="63">
        <v>2</v>
      </c>
      <c r="B6" s="96" t="s">
        <v>583</v>
      </c>
      <c r="C6" s="49" t="s">
        <v>127</v>
      </c>
      <c r="D6" s="49" t="s">
        <v>238</v>
      </c>
      <c r="E6" s="64" t="s">
        <v>584</v>
      </c>
    </row>
    <row r="7" spans="1:5" x14ac:dyDescent="0.25">
      <c r="A7" s="53">
        <v>3</v>
      </c>
      <c r="B7" s="95" t="s">
        <v>583</v>
      </c>
      <c r="C7" s="44" t="s">
        <v>149</v>
      </c>
      <c r="D7" s="44" t="s">
        <v>238</v>
      </c>
      <c r="E7" s="54" t="s">
        <v>584</v>
      </c>
    </row>
    <row r="8" spans="1:5" x14ac:dyDescent="0.25">
      <c r="A8" s="63">
        <v>4</v>
      </c>
      <c r="B8" s="96" t="s">
        <v>583</v>
      </c>
      <c r="C8" s="49" t="s">
        <v>153</v>
      </c>
      <c r="D8" s="49" t="s">
        <v>238</v>
      </c>
      <c r="E8" s="64" t="s">
        <v>584</v>
      </c>
    </row>
    <row r="9" spans="1:5" x14ac:dyDescent="0.25">
      <c r="A9" s="53">
        <v>5</v>
      </c>
      <c r="B9" s="95" t="s">
        <v>583</v>
      </c>
      <c r="C9" s="44" t="s">
        <v>154</v>
      </c>
      <c r="D9" s="44" t="s">
        <v>238</v>
      </c>
      <c r="E9" s="54" t="s">
        <v>584</v>
      </c>
    </row>
    <row r="10" spans="1:5" x14ac:dyDescent="0.25">
      <c r="A10" s="63">
        <v>6</v>
      </c>
      <c r="B10" s="96" t="s">
        <v>585</v>
      </c>
      <c r="C10" s="49" t="s">
        <v>167</v>
      </c>
      <c r="D10" s="49" t="s">
        <v>586</v>
      </c>
      <c r="E10" s="64" t="s">
        <v>587</v>
      </c>
    </row>
    <row r="11" spans="1:5" x14ac:dyDescent="0.25">
      <c r="A11" s="53">
        <v>7</v>
      </c>
      <c r="B11" s="95" t="s">
        <v>583</v>
      </c>
      <c r="C11" s="44" t="s">
        <v>167</v>
      </c>
      <c r="D11" s="44" t="s">
        <v>397</v>
      </c>
      <c r="E11" s="54" t="s">
        <v>584</v>
      </c>
    </row>
    <row r="12" spans="1:5" x14ac:dyDescent="0.25">
      <c r="A12" s="63">
        <v>8</v>
      </c>
      <c r="B12" s="96" t="s">
        <v>585</v>
      </c>
      <c r="C12" s="49" t="s">
        <v>170</v>
      </c>
      <c r="D12" s="49" t="s">
        <v>586</v>
      </c>
      <c r="E12" s="64" t="s">
        <v>587</v>
      </c>
    </row>
    <row r="13" spans="1:5" x14ac:dyDescent="0.25">
      <c r="A13" s="53">
        <v>9</v>
      </c>
      <c r="B13" s="95" t="s">
        <v>585</v>
      </c>
      <c r="C13" s="44" t="s">
        <v>171</v>
      </c>
      <c r="D13" s="44" t="s">
        <v>586</v>
      </c>
      <c r="E13" s="54" t="s">
        <v>587</v>
      </c>
    </row>
    <row r="14" spans="1:5" x14ac:dyDescent="0.25">
      <c r="A14" s="63">
        <v>10</v>
      </c>
      <c r="B14" s="96" t="s">
        <v>585</v>
      </c>
      <c r="C14" s="49" t="s">
        <v>172</v>
      </c>
      <c r="D14" s="49" t="s">
        <v>586</v>
      </c>
      <c r="E14" s="64" t="s">
        <v>587</v>
      </c>
    </row>
    <row r="15" spans="1:5" x14ac:dyDescent="0.25">
      <c r="A15" s="53">
        <v>11</v>
      </c>
      <c r="B15" s="95" t="s">
        <v>585</v>
      </c>
      <c r="C15" s="44" t="s">
        <v>173</v>
      </c>
      <c r="D15" s="44" t="s">
        <v>586</v>
      </c>
      <c r="E15" s="54" t="s">
        <v>587</v>
      </c>
    </row>
    <row r="16" spans="1:5" x14ac:dyDescent="0.25">
      <c r="A16" s="63">
        <v>12</v>
      </c>
      <c r="B16" s="96" t="s">
        <v>585</v>
      </c>
      <c r="C16" s="49" t="s">
        <v>174</v>
      </c>
      <c r="D16" s="49" t="s">
        <v>586</v>
      </c>
      <c r="E16" s="64" t="s">
        <v>587</v>
      </c>
    </row>
    <row r="17" spans="1:5" x14ac:dyDescent="0.25">
      <c r="A17" s="53">
        <v>13</v>
      </c>
      <c r="B17" s="95" t="s">
        <v>585</v>
      </c>
      <c r="C17" s="44" t="s">
        <v>176</v>
      </c>
      <c r="D17" s="44" t="s">
        <v>586</v>
      </c>
      <c r="E17" s="54" t="s">
        <v>587</v>
      </c>
    </row>
    <row r="18" spans="1:5" x14ac:dyDescent="0.25">
      <c r="A18" s="63">
        <v>14</v>
      </c>
      <c r="B18" s="96" t="s">
        <v>585</v>
      </c>
      <c r="C18" s="49" t="s">
        <v>181</v>
      </c>
      <c r="D18" s="49" t="s">
        <v>586</v>
      </c>
      <c r="E18" s="64" t="s">
        <v>587</v>
      </c>
    </row>
    <row r="19" spans="1:5" x14ac:dyDescent="0.25">
      <c r="A19" s="53">
        <v>15</v>
      </c>
      <c r="B19" s="95" t="s">
        <v>588</v>
      </c>
      <c r="C19" s="44" t="s">
        <v>586</v>
      </c>
      <c r="D19" s="44" t="s">
        <v>480</v>
      </c>
      <c r="E19" s="54" t="s">
        <v>589</v>
      </c>
    </row>
    <row r="20" spans="1:5" x14ac:dyDescent="0.25">
      <c r="A20" s="63">
        <v>16</v>
      </c>
      <c r="B20" s="96" t="s">
        <v>590</v>
      </c>
      <c r="C20" s="49" t="s">
        <v>586</v>
      </c>
      <c r="D20" s="49" t="s">
        <v>489</v>
      </c>
      <c r="E20" s="64" t="s">
        <v>591</v>
      </c>
    </row>
    <row r="21" spans="1:5" x14ac:dyDescent="0.25">
      <c r="A21" s="53">
        <v>17</v>
      </c>
      <c r="B21" s="95" t="s">
        <v>590</v>
      </c>
      <c r="C21" s="44" t="s">
        <v>586</v>
      </c>
      <c r="D21" s="44" t="s">
        <v>491</v>
      </c>
      <c r="E21" s="54" t="s">
        <v>591</v>
      </c>
    </row>
    <row r="22" spans="1:5" x14ac:dyDescent="0.25">
      <c r="A22" s="63">
        <v>18</v>
      </c>
      <c r="B22" s="96" t="s">
        <v>588</v>
      </c>
      <c r="C22" s="49" t="s">
        <v>586</v>
      </c>
      <c r="D22" s="49" t="s">
        <v>405</v>
      </c>
      <c r="E22" s="64" t="s">
        <v>589</v>
      </c>
    </row>
    <row r="23" spans="1:5" x14ac:dyDescent="0.25">
      <c r="A23" s="53">
        <v>19</v>
      </c>
      <c r="B23" s="95" t="s">
        <v>590</v>
      </c>
      <c r="C23" s="44" t="s">
        <v>586</v>
      </c>
      <c r="D23" s="44" t="s">
        <v>500</v>
      </c>
      <c r="E23" s="54" t="s">
        <v>591</v>
      </c>
    </row>
    <row r="24" spans="1:5" x14ac:dyDescent="0.25">
      <c r="A24" s="63">
        <v>20</v>
      </c>
      <c r="B24" s="96" t="s">
        <v>590</v>
      </c>
      <c r="C24" s="49" t="s">
        <v>586</v>
      </c>
      <c r="D24" s="49" t="s">
        <v>505</v>
      </c>
      <c r="E24" s="64" t="s">
        <v>591</v>
      </c>
    </row>
    <row r="25" spans="1:5" x14ac:dyDescent="0.25">
      <c r="A25" s="53">
        <v>21</v>
      </c>
      <c r="B25" s="95" t="s">
        <v>590</v>
      </c>
      <c r="C25" s="44" t="s">
        <v>586</v>
      </c>
      <c r="D25" s="44" t="s">
        <v>506</v>
      </c>
      <c r="E25" s="54" t="s">
        <v>591</v>
      </c>
    </row>
    <row r="26" spans="1:5" x14ac:dyDescent="0.25">
      <c r="A26" s="63">
        <v>22</v>
      </c>
      <c r="B26" s="96" t="s">
        <v>590</v>
      </c>
      <c r="C26" s="49" t="s">
        <v>586</v>
      </c>
      <c r="D26" s="49" t="s">
        <v>507</v>
      </c>
      <c r="E26" s="64" t="s">
        <v>591</v>
      </c>
    </row>
    <row r="27" spans="1:5" x14ac:dyDescent="0.25">
      <c r="A27" s="53">
        <v>23</v>
      </c>
      <c r="B27" s="95" t="s">
        <v>588</v>
      </c>
      <c r="C27" s="44" t="s">
        <v>586</v>
      </c>
      <c r="D27" s="44" t="s">
        <v>420</v>
      </c>
      <c r="E27" s="54" t="s">
        <v>589</v>
      </c>
    </row>
    <row r="28" spans="1:5" x14ac:dyDescent="0.25">
      <c r="A28" s="63">
        <v>24</v>
      </c>
      <c r="B28" s="96" t="s">
        <v>592</v>
      </c>
      <c r="C28" s="49" t="s">
        <v>586</v>
      </c>
      <c r="D28" s="49" t="s">
        <v>546</v>
      </c>
      <c r="E28" s="64" t="s">
        <v>593</v>
      </c>
    </row>
    <row r="29" spans="1:5" x14ac:dyDescent="0.25">
      <c r="A29" s="53">
        <v>25</v>
      </c>
      <c r="B29" s="95" t="s">
        <v>592</v>
      </c>
      <c r="C29" s="44" t="s">
        <v>586</v>
      </c>
      <c r="D29" s="44" t="s">
        <v>557</v>
      </c>
      <c r="E29" s="54" t="s">
        <v>594</v>
      </c>
    </row>
  </sheetData>
  <autoFilter ref="A4:E29"/>
  <mergeCells count="2">
    <mergeCell ref="A1:E1"/>
    <mergeCell ref="A2:E2"/>
  </mergeCells>
  <pageMargins left="0.3" right="0.3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📘 사용안내</vt:lpstr>
      <vt:lpstr>⑥ 분석 대시보드</vt:lpstr>
      <vt:lpstr>④ 메뉴 원가표</vt:lpstr>
      <vt:lpstr>⑤ 레시피 상세</vt:lpstr>
      <vt:lpstr>① 식재료 단가</vt:lpstr>
      <vt:lpstr>② 프렙 원가</vt:lpstr>
      <vt:lpstr>③ 고정비 설정</vt:lpstr>
      <vt:lpstr>⚠ 확인 필요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Everest Restaurant Group</dc:creator>
  <dc:title/>
  <dc:subject/>
  <dc:description/>
  <cp:keywords/>
  <cp:category/>
  <cp:lastModifiedBy>Unknown</cp:lastModifiedBy>
  <dcterms:created xsi:type="dcterms:W3CDTF">2026-09-16T07:23:32Z</dcterms:created>
  <dcterms:modified xsi:type="dcterms:W3CDTF">2026-09-16T07:23:32Z</dcterms:modified>
</cp:coreProperties>
</file>
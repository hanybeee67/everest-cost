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<sst xmlns="http://schemas.openxmlformats.org/spreadsheetml/2006/main" count="5361" uniqueCount="595">
  <si>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</si>
  <si>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</si>
  <si>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</si>
  <si>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</si>
  <si>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</si>
  <si>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</si>
  <si>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</si>
  <si>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</si>
  <si>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</si>
  <si>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</si>
  <si>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</si>
  <si>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</si>
  <si>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</si>
  <si>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</si>
  <si>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</si>
  <si>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</si>
  <si>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</si>
  <si>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</si>
  <si>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</si>
  <si>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</si>
  <si>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</si>
  <si>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</si>
  <si>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</si>
  <si>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</si>
  <si>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</si>
  <si>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</si>
  <si>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</si>
  <si>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</si>
  <si>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</si>
  <si>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</si>
  <si>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</si>
  <si>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</si>
  <si>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</si>
  <si>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</si>
  <si>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</si>
  <si>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</si>
  <si>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</si>
  <si>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</si>
  <si>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</si>
  <si>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</si>
  <si>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</si>
  <si>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</si>
  <si>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</si>
  <si>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</si>
  <si>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</si>
  <si>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</si>
  <si>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</si>
  <si>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</si>
  <si>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</si>
  <si>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</si>
  <si>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</si>
  <si>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</si>
  <si>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</si>
  <si>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</si>
  <si>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</si>
  <si>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</si>
  <si>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</si>
  <si>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</si>
  <si>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</si>
  <si>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</si>
  <si>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</si>
  <si>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</si>
  <si>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</si>
  <si>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</si>
  <si>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</si>
  <si>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</si>
  <si>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</si>
  <si>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</si>
  <si>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</si>
  <si>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</si>
  <si>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</si>
  <si>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</si>
  <si>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</si>
  <si>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</si>
  <si>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</si>
  <si>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</si>
  <si>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</si>
  <si>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</si>
  <si>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</si>
  <si>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</si>
  <si>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</si>
  <si>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</si>
  <si>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</si>
  <si>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</si>
  <si>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</si>
  <si>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</si>
  <si>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</si>
  <si>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</si>
  <si>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</si>
  <si>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</si>
  <si>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</si>
  <si>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</si>
  <si>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</si>
  <si>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</si>
  <si>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</si>
  <si>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</si>
  <si>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</si>
  <si>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</si>
  <si>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</si>
  <si>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</si>
  <si>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</si>
  <si>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</si>
  <si>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</si>
  <si>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</si>
  <si>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</si>
  <si>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</si>
  <si>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</si>
  <si>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</si>
  <si>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</si>
  <si>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</si>
  <si>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</si>
  <si>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</si>
  <si>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</si>
  <si>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</si>
  <si>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</si>
  <si>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</si>
  <si>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</si>
  <si>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</si>
  <si>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</si>
  <si>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</si>
  <si>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</si>
  <si>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</si>
  <si>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</si>
  <si>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</si>
  <si>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</si>
  <si>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</si>
  <si>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</si>
  <si>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</si>
  <si>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</si>
  <si>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</si>
  <si>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</si>
  <si>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</si>
  <si>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</si>
  <si>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</si>
  <si>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</si>
  <si>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</si>
  <si>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</si>
  <si>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</si>
  <si>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</si>
  <si>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</si>
  <si>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</si>
  <si>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</si>
  <si>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</si>
  <si>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</si>
  <si>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</si>
  <si>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</si>
  <si>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</si>
  <si>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</si>
  <si>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</si>
  <si>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</si>
  <si>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</si>
  <si>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</si>
  <si>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</si>
  <si>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</si>
  <si>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</si>
  <si>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</si>
  <si>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</si>
  <si>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</si>
  <si>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</si>
  <si>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</si>
  <si>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</si>
  <si>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</si>
  <si>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</si>
  <si>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</si>
  <si>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</si>
  <si>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</si>
  <si>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</si>
  <si>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</si>
  <si>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</si>
  <si>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</si>
  <si>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</si>
  <si>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</si>
  <si>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</si>
  <si>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</si>
  <si>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</si>
  <si>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</si>
  <si>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</si>
  <si>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</si>
  <si>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</si>
  <si>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</si>
  <si>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</si>
  <si>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</si>
  <si>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</si>
  <si>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</si>
  <si>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</si>
  <si>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</si>
  <si>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</si>
  <si>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</si>
  <si>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</si>
  <si>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</si>
  <si>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</si>
  <si>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</si>
  <si>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</si>
  <si>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</si>
  <si>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</si>
  <si>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</si>
  <si>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</si>
  <si>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</si>
  <si>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</si>
  <si>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</si>
  <si>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</si>
  <si>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</si>
  <si>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</si>
  <si>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</si>
  <si>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</si>
  <si>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</si>
  <si>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</si>
  <si>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</si>
  <si>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</si>
  <si>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</si>
  <si>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</si>
  <si>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</si>
  <si>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</si>
  <si>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</si>
  <si>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</si>
  <si>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</si>
  <si>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</si>
  <si>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</si>
  <si>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</si>
  <si>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</si>
  <si>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</si>
  <si>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</si>
  <si>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</si>
  <si>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</si>
  <si>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</si>
  <si>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</si>
  <si>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</si>
  <si>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</si>
  <si>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</si>
  <si>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</si>
  <si>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</si>
  <si>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</si>
  <si>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</si>
  <si>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</si>
  <si>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</si>
  <si>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</si>
  <si>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</si>
  <si>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</si>
  <si>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</si>
  <si>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</si>
  <si>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</si>
  <si>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</si>
  <si>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</si>
  <si>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</si>
  <si>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</si>
  <si>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</si>
  <si>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</si>
  <si>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</si>
  <si>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</si>
  <si>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</si>
  <si>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</si>
  <si>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</si>
  <si>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</si>
  <si>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</si>
  <si>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</si>
  <si>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</si>
  <si>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</si>
  <si>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</si>
  <si>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</si>
  <si>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</si>
  <si>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</si>
  <si>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</si>
  <si>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</si>
  <si>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</si>
  <si>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</si>
  <si>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</si>
  <si>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</si>
  <si>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</si>
  <si>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</si>
  <si>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</si>
  <si>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</si>
  <si>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</si>
  <si>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</si>
  <si>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</si>
  <si>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</si>
  <si>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</si>
  <si>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</si>
  <si>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</si>
  <si>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</si>
  <si>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</si>
  <si>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</si>
  <si>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</si>
  <si>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</si>
  <si>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</si>
  <si>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</si>
  <si>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</si>
  <si>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</si>
  <si>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</si>
  <si>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</si>
  <si>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</si>
  <si>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</si>
  <si>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</si>
  <si>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</si>
  <si>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</si>
  <si>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</si>
  <si>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</si>
  <si>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</si>
  <si>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</si>
  <si>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</si>
  <si>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</si>
  <si>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</si>
  <si>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</si>
  <si>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</si>
  <si>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</si>
  <si>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</si>
  <si>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</si>
  <si>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</si>
  <si>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</si>
  <si>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</si>
  <si>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</si>
  <si>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</si>
  <si>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</si>
  <si>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</si>
  <si>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</si>
  <si>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</si>
  <si>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</si>
  <si>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</si>
  <si>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</si>
  <si>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</si>
  <si>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</si>
  <si>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</si>
  <si>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</si>
  <si>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</si>
  <si>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</si>
  <si>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</si>
  <si>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</si>
  <si>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</si>
  <si>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</si>
  <si>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</si>
  <si>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</si>
  <si>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</si>
  <si>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</si>
  <si>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</si>
  <si>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</si>
  <si>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</si>
  <si>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</si>
  <si>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</si>
  <si>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</si>
  <si>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</si>
  <si>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</si>
  <si>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</si>
  <si>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</si>
  <si>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</si>
  <si>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</si>
  <si>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</si>
  <si>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</si>
  <si>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</si>
  <si>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</si>
  <si>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</si>
  <si>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</si>
  <si>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</si>
  <si>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</si>
  <si>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</si>
  <si>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</si>
  <si>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</si>
  <si>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</si>
  <si>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</si>
  <si>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</si>
  <si>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</si>
  <si>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</si>
  <si>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</si>
  <si>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</si>
  <si>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</si>
  <si>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</si>
  <si>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</si>
  <si>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</si>
  <si>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</si>
  <si>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</si>
  <si>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</si>
  <si>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</si>
  <si>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</si>
  <si>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</si>
  <si>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</si>
  <si>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</si>
  <si>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</si>
  <si>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</si>
  <si>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</si>
  <si>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</si>
  <si>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</si>
  <si>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</si>
  <si>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</si>
  <si>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</si>
  <si>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</si>
  <si>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</si>
  <si>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</si>
  <si>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</si>
  <si>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</si>
  <si>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</si>
  <si>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</si>
  <si>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</si>
  <si>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</si>
  <si>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</si>
  <si>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</si>
  <si>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</si>
  <si>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</si>
  <si>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</si>
  <si>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</si>
  <si>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</si>
  <si>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</si>
  <si>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</si>
  <si>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</si>
  <si>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</si>
  <si>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</si>
  <si>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</si>
  <si>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</si>
  <si>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</si>
  <si>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</si>
  <si>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</si>
  <si>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</si>
  <si>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</si>
  <si>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</si>
  <si>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</si>
  <si>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</si>
  <si>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</si>
  <si>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</si>
  <si>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</si>
  <si>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</si>
  <si>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</si>
  <si>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</si>
  <si>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</si>
  <si>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</si>
  <si>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</si>
  <si>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</si>
  <si>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</si>
  <si>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</si>
  <si>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</si>
  <si>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</si>
  <si>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</si>
  <si>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</si>
  <si>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</si>
  <si>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</si>
  <si>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</si>
  <si>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</si>
  <si>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</si>
  <si>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</si>
  <si>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</si>
  <si>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</si>
  <si>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</si>
  <si>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</si>
  <si>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</si>
  <si>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</si>
  <si>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</si>
  <si>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</si>
  <si>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</si>
  <si>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</si>
  <si>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</si>
  <si>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</si>
  <si>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</si>
  <si>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</si>
  <si>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</si>
  <si>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</si>
  <si>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</si>
  <si>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</si>
  <si>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</si>
  <si>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</si>
  <si>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</si>
  <si>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</si>
  <si>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</si>
  <si>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</si>
  <si>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</si>
  <si>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</si>
  <si>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</si>
  <si>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</si>
  <si>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</si>
  <si>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</si>
  <si>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</si>
  <si>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</si>
  <si>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</si>
  <si>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</si>
  <si>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</si>
  <si>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</si>
  <si>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</si>
  <si>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</si>
  <si>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</si>
  <si>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</si>
  <si>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</si>
  <si>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</si>
  <si>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</si>
  <si>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</si>
  <si>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</si>
  <si>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</si>
  <si>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</si>
  <si>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</si>
  <si>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</si>
  <si>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</si>
  <si>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</si>
  <si>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</si>
  <si>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</si>
  <si>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</si>
  <si>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</si>
  <si>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총중량(g) 입력 필요 — 개수 품목이면 「개수 단위」로 바꾸세요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</si>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</sst>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475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476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476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477</v>
      </c>
      <c r="C8" s="55">
        <v>62000</v>
      </c>
      <c r="D8" s="84">
        <v>20</v>
      </c>
      <c r="E8" s="53" t="s">
        <v>476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476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476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476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476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476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476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476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476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478</v>
      </c>
      <c r="C17" s="55">
        <v>5000</v>
      </c>
      <c r="D17" s="84">
        <v>0.5</v>
      </c>
      <c r="E17" s="63" t="s">
        <v>476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476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476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479</v>
      </c>
      <c r="C20" s="55">
        <v>65000</v>
      </c>
      <c r="D20" s="84">
        <v>15</v>
      </c>
      <c r="E20" s="53" t="s">
        <v>476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476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476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476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476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476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480</v>
      </c>
      <c r="C26" s="55">
        <v>0</v>
      </c>
      <c r="D26" s="84">
        <v>3</v>
      </c>
      <c r="E26" s="53" t="s">
        <v>476</v>
      </c>
      <c r="F26" s="55">
        <v>3000</v>
      </c>
      <c r="G26" s="85">
        <f>IF(F26&gt;0,C26/F26,0)</f>
      </c>
      <c r="H26" s="86" t="s">
        <v>481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476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476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476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476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476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476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476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476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476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476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476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476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482</v>
      </c>
      <c r="C39" s="55">
        <v>196000</v>
      </c>
      <c r="D39" s="84">
        <v>25</v>
      </c>
      <c r="E39" s="63" t="s">
        <v>476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476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476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483</v>
      </c>
      <c r="C42" s="55">
        <v>6000</v>
      </c>
      <c r="D42" s="84">
        <v>13</v>
      </c>
      <c r="E42" s="53" t="s">
        <v>476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476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484</v>
      </c>
      <c r="C44" s="55">
        <v>157500</v>
      </c>
      <c r="D44" s="84">
        <v>10.5</v>
      </c>
      <c r="E44" s="53" t="s">
        <v>476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476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476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476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476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476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485</v>
      </c>
      <c r="C50" s="55">
        <v>2500</v>
      </c>
      <c r="D50" s="84">
        <v>0.8</v>
      </c>
      <c r="E50" s="53" t="s">
        <v>476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486</v>
      </c>
      <c r="C51" s="55">
        <v>2800</v>
      </c>
      <c r="D51" s="84">
        <v>0.8</v>
      </c>
      <c r="E51" s="63" t="s">
        <v>476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476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476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476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476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476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487</v>
      </c>
      <c r="C57" s="55">
        <v>2000</v>
      </c>
      <c r="D57" s="84">
        <v>0.05</v>
      </c>
      <c r="E57" s="63" t="s">
        <v>476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476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476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476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476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488</v>
      </c>
      <c r="C62" s="55">
        <v>24000</v>
      </c>
      <c r="D62" s="84">
        <v>1</v>
      </c>
      <c r="E62" s="53" t="s">
        <v>476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489</v>
      </c>
      <c r="C63" s="55">
        <v>21000</v>
      </c>
      <c r="D63" s="84">
        <v>0</v>
      </c>
      <c r="E63" s="63" t="s">
        <v>476</v>
      </c>
      <c r="F63" s="55">
        <v>0</v>
      </c>
      <c r="G63" s="85">
        <f>IF(F63&gt;0,C63/F63,0)</f>
      </c>
      <c r="H63" s="87" t="s">
        <v>490</v>
      </c>
    </row>
    <row r="64" spans="1:8" x14ac:dyDescent="0.25">
      <c r="A64" s="53">
        <v>59</v>
      </c>
      <c r="B64" s="44" t="s">
        <v>491</v>
      </c>
      <c r="C64" s="55">
        <v>19500</v>
      </c>
      <c r="D64" s="84">
        <v>0</v>
      </c>
      <c r="E64" s="53" t="s">
        <v>476</v>
      </c>
      <c r="F64" s="55">
        <v>0</v>
      </c>
      <c r="G64" s="85">
        <f>IF(F64&gt;0,C64/F64,0)</f>
      </c>
      <c r="H64" s="86" t="s">
        <v>490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476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476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492</v>
      </c>
      <c r="C67" s="55">
        <v>6000</v>
      </c>
      <c r="D67" s="84">
        <v>1.3</v>
      </c>
      <c r="E67" s="63" t="s">
        <v>476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476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476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476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493</v>
      </c>
      <c r="C71" s="55">
        <v>4400</v>
      </c>
      <c r="D71" s="84">
        <v>1</v>
      </c>
      <c r="E71" s="63" t="s">
        <v>476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476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494</v>
      </c>
      <c r="C73" s="55">
        <v>11800</v>
      </c>
      <c r="D73" s="84">
        <v>5</v>
      </c>
      <c r="E73" s="63" t="s">
        <v>476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495</v>
      </c>
      <c r="C74" s="55">
        <v>75000</v>
      </c>
      <c r="D74" s="84">
        <v>10</v>
      </c>
      <c r="E74" s="53" t="s">
        <v>476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476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476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496</v>
      </c>
      <c r="C77" s="55">
        <v>5300</v>
      </c>
      <c r="D77" s="84">
        <v>0.55</v>
      </c>
      <c r="E77" s="63" t="s">
        <v>476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497</v>
      </c>
      <c r="C78" s="55">
        <v>2125</v>
      </c>
      <c r="D78" s="84">
        <v>5</v>
      </c>
      <c r="E78" s="53" t="s">
        <v>476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476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476</v>
      </c>
      <c r="F80" s="55">
        <v>0</v>
      </c>
      <c r="G80" s="85">
        <f>IF(F80&gt;0,C80/F80,0)</f>
      </c>
      <c r="H80" s="86" t="s">
        <v>481</v>
      </c>
    </row>
    <row r="81" spans="1:8" x14ac:dyDescent="0.25">
      <c r="A81" s="63">
        <v>76</v>
      </c>
      <c r="B81" s="49" t="s">
        <v>498</v>
      </c>
      <c r="C81" s="55">
        <v>2500</v>
      </c>
      <c r="D81" s="84">
        <v>0.1</v>
      </c>
      <c r="E81" s="63" t="s">
        <v>476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476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499</v>
      </c>
      <c r="C83" s="55">
        <v>4500</v>
      </c>
      <c r="D83" s="84">
        <v>0.2</v>
      </c>
      <c r="E83" s="63" t="s">
        <v>476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500</v>
      </c>
      <c r="C84" s="55">
        <v>21000</v>
      </c>
      <c r="D84" s="84">
        <v>0</v>
      </c>
      <c r="E84" s="53" t="s">
        <v>476</v>
      </c>
      <c r="F84" s="55">
        <v>0</v>
      </c>
      <c r="G84" s="85">
        <f>IF(F84&gt;0,C84/F84,0)</f>
      </c>
      <c r="H84" s="86" t="s">
        <v>490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476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501</v>
      </c>
      <c r="C86" s="55">
        <v>4200</v>
      </c>
      <c r="D86" s="84">
        <v>1</v>
      </c>
      <c r="E86" s="53" t="s">
        <v>476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476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476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502</v>
      </c>
      <c r="C89" s="55">
        <v>7225</v>
      </c>
      <c r="D89" s="84">
        <v>2.8</v>
      </c>
      <c r="E89" s="63" t="s">
        <v>476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476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503</v>
      </c>
      <c r="C91" s="55">
        <v>3200</v>
      </c>
      <c r="D91" s="84">
        <v>1</v>
      </c>
      <c r="E91" s="63" t="s">
        <v>476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476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476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476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504</v>
      </c>
      <c r="C95" s="55">
        <v>24000</v>
      </c>
      <c r="D95" s="84">
        <v>20</v>
      </c>
      <c r="E95" s="63" t="s">
        <v>476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476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476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476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476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505</v>
      </c>
      <c r="C100" s="55">
        <v>60000</v>
      </c>
      <c r="D100" s="84">
        <v>0</v>
      </c>
      <c r="E100" s="53" t="s">
        <v>476</v>
      </c>
      <c r="F100" s="55">
        <v>0</v>
      </c>
      <c r="G100" s="85">
        <f>IF(F100&gt;0,C100/F100,0)</f>
      </c>
      <c r="H100" s="86" t="s">
        <v>490</v>
      </c>
    </row>
    <row r="101" spans="1:8" x14ac:dyDescent="0.25">
      <c r="A101" s="63">
        <v>96</v>
      </c>
      <c r="B101" s="49" t="s">
        <v>506</v>
      </c>
      <c r="C101" s="55">
        <v>64000</v>
      </c>
      <c r="D101" s="84">
        <v>0</v>
      </c>
      <c r="E101" s="63" t="s">
        <v>476</v>
      </c>
      <c r="F101" s="55">
        <v>0</v>
      </c>
      <c r="G101" s="85">
        <f>IF(F101&gt;0,C101/F101,0)</f>
      </c>
      <c r="H101" s="87" t="s">
        <v>490</v>
      </c>
    </row>
    <row r="102" spans="1:8" x14ac:dyDescent="0.25">
      <c r="A102" s="53">
        <v>97</v>
      </c>
      <c r="B102" s="44" t="s">
        <v>507</v>
      </c>
      <c r="C102" s="55">
        <v>63000</v>
      </c>
      <c r="D102" s="84">
        <v>0</v>
      </c>
      <c r="E102" s="53" t="s">
        <v>476</v>
      </c>
      <c r="F102" s="55">
        <v>0</v>
      </c>
      <c r="G102" s="85">
        <f>IF(F102&gt;0,C102/F102,0)</f>
      </c>
      <c r="H102" s="86" t="s">
        <v>490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476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476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508</v>
      </c>
      <c r="C105" s="55">
        <v>11900</v>
      </c>
      <c r="D105" s="84">
        <v>0.21</v>
      </c>
      <c r="E105" s="63" t="s">
        <v>476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476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476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476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476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476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476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476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476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476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476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476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509</v>
      </c>
      <c r="C117" s="55">
        <v>3200</v>
      </c>
      <c r="D117" s="84">
        <v>1</v>
      </c>
      <c r="E117" s="63" t="s">
        <v>476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510</v>
      </c>
      <c r="C118" s="55">
        <v>23500</v>
      </c>
      <c r="D118" s="84">
        <v>1</v>
      </c>
      <c r="E118" s="53" t="s">
        <v>476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476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476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476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476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481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511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512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513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514</v>
      </c>
      <c r="C5" s="30" t="s">
        <v>515</v>
      </c>
      <c r="D5" s="30" t="s">
        <v>200</v>
      </c>
      <c r="E5" s="30" t="s">
        <v>516</v>
      </c>
      <c r="F5" s="30" t="s">
        <v>517</v>
      </c>
      <c r="G5" s="30" t="s">
        <v>518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519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520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521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522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514</v>
      </c>
      <c r="B20" s="30" t="s">
        <v>195</v>
      </c>
      <c r="C20" s="30" t="s">
        <v>523</v>
      </c>
      <c r="D20" s="30" t="s">
        <v>524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495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508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503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485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519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519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520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520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520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520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520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520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520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520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521</v>
      </c>
      <c r="B86" s="53" t="s">
        <v>204</v>
      </c>
      <c r="C86" s="44" t="s">
        <v>501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521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521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521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525</v>
      </c>
      <c r="B2" s="2"/>
      <c r="C2" s="2"/>
      <c r="D2" s="2"/>
      <c r="E2" s="2"/>
    </row>
    <row r="3" ht="22" customHeight="1" spans="1:5" x14ac:dyDescent="0.25">
      <c r="A3" s="52" t="s">
        <v>526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527</v>
      </c>
      <c r="C5" s="30" t="s">
        <v>528</v>
      </c>
      <c r="D5" s="30" t="s">
        <v>529</v>
      </c>
      <c r="E5" s="30" t="s">
        <v>530</v>
      </c>
    </row>
    <row r="6" spans="1:5" x14ac:dyDescent="0.25">
      <c r="A6" s="53">
        <v>1</v>
      </c>
      <c r="B6" s="44" t="s">
        <v>531</v>
      </c>
      <c r="C6" s="55">
        <v>12000000</v>
      </c>
      <c r="D6" s="88" t="s">
        <v>532</v>
      </c>
      <c r="E6" s="54" t="s">
        <v>533</v>
      </c>
    </row>
    <row r="7" spans="1:5" x14ac:dyDescent="0.25">
      <c r="A7" s="63">
        <v>2</v>
      </c>
      <c r="B7" s="49" t="s">
        <v>534</v>
      </c>
      <c r="C7" s="55">
        <v>205800</v>
      </c>
      <c r="D7" s="88" t="s">
        <v>532</v>
      </c>
      <c r="E7" s="64" t="s">
        <v>535</v>
      </c>
    </row>
    <row r="8" spans="1:5" x14ac:dyDescent="0.25">
      <c r="A8" s="53">
        <v>3</v>
      </c>
      <c r="B8" s="44" t="s">
        <v>536</v>
      </c>
      <c r="C8" s="55">
        <v>2336970</v>
      </c>
      <c r="D8" s="88" t="s">
        <v>532</v>
      </c>
      <c r="E8" s="54" t="s">
        <v>537</v>
      </c>
    </row>
    <row r="9" spans="1:5" x14ac:dyDescent="0.25">
      <c r="A9" s="63">
        <v>4</v>
      </c>
      <c r="B9" s="49" t="s">
        <v>538</v>
      </c>
      <c r="C9" s="55">
        <v>783420</v>
      </c>
      <c r="D9" s="88" t="s">
        <v>532</v>
      </c>
      <c r="E9" s="64" t="s">
        <v>539</v>
      </c>
    </row>
    <row r="10" spans="1:5" x14ac:dyDescent="0.25">
      <c r="A10" s="53">
        <v>5</v>
      </c>
      <c r="B10" s="44" t="s">
        <v>540</v>
      </c>
      <c r="C10" s="55">
        <v>8800000</v>
      </c>
      <c r="D10" s="88" t="s">
        <v>532</v>
      </c>
      <c r="E10" s="54" t="s">
        <v>541</v>
      </c>
    </row>
    <row r="11" spans="1:5" x14ac:dyDescent="0.25">
      <c r="A11" s="63">
        <v>6</v>
      </c>
      <c r="B11" s="49" t="s">
        <v>542</v>
      </c>
      <c r="C11" s="55">
        <v>50000</v>
      </c>
      <c r="D11" s="88" t="s">
        <v>532</v>
      </c>
      <c r="E11" s="64" t="s">
        <v>543</v>
      </c>
    </row>
    <row r="12" spans="1:5" x14ac:dyDescent="0.25">
      <c r="A12" s="53">
        <v>7</v>
      </c>
      <c r="B12" s="44" t="s">
        <v>544</v>
      </c>
      <c r="C12" s="55">
        <v>3894139</v>
      </c>
      <c r="D12" s="88" t="s">
        <v>532</v>
      </c>
      <c r="E12" s="54" t="s">
        <v>545</v>
      </c>
    </row>
    <row r="13" spans="1:5" x14ac:dyDescent="0.25">
      <c r="A13" s="63">
        <v>8</v>
      </c>
      <c r="B13" s="49" t="s">
        <v>546</v>
      </c>
      <c r="C13" s="55">
        <v>17000000</v>
      </c>
      <c r="D13" s="88" t="s">
        <v>547</v>
      </c>
      <c r="E13" s="87" t="s">
        <v>548</v>
      </c>
    </row>
    <row r="14" spans="1:5" x14ac:dyDescent="0.25">
      <c r="A14" s="53">
        <v>9</v>
      </c>
      <c r="B14" s="44" t="s">
        <v>549</v>
      </c>
      <c r="C14" s="55">
        <v>204000</v>
      </c>
      <c r="D14" s="88" t="s">
        <v>532</v>
      </c>
      <c r="E14" s="54" t="s">
        <v>550</v>
      </c>
    </row>
    <row r="15" spans="1:5" x14ac:dyDescent="0.25">
      <c r="A15" s="63">
        <v>10</v>
      </c>
      <c r="B15" s="49" t="s">
        <v>551</v>
      </c>
      <c r="C15" s="55">
        <v>391270</v>
      </c>
      <c r="D15" s="88" t="s">
        <v>532</v>
      </c>
      <c r="E15" s="64" t="s">
        <v>552</v>
      </c>
    </row>
    <row r="16" spans="1:5" x14ac:dyDescent="0.25">
      <c r="A16" s="53">
        <v>11</v>
      </c>
      <c r="B16" s="44" t="s">
        <v>553</v>
      </c>
      <c r="C16" s="55">
        <v>703730</v>
      </c>
      <c r="D16" s="88" t="s">
        <v>532</v>
      </c>
      <c r="E16" s="54" t="s">
        <v>554</v>
      </c>
    </row>
    <row r="17" spans="1:5" x14ac:dyDescent="0.25">
      <c r="A17" s="63">
        <v>12</v>
      </c>
      <c r="B17" s="49" t="s">
        <v>555</v>
      </c>
      <c r="C17" s="55">
        <v>48950</v>
      </c>
      <c r="D17" s="88" t="s">
        <v>532</v>
      </c>
      <c r="E17" s="64" t="s">
        <v>556</v>
      </c>
    </row>
    <row r="18" spans="1:5" x14ac:dyDescent="0.25">
      <c r="A18" s="53">
        <v>13</v>
      </c>
      <c r="B18" s="44" t="s">
        <v>557</v>
      </c>
      <c r="C18" s="55">
        <v>256800</v>
      </c>
      <c r="D18" s="88" t="s">
        <v>547</v>
      </c>
      <c r="E18" s="86" t="s">
        <v>548</v>
      </c>
    </row>
    <row r="19" spans="1:5" x14ac:dyDescent="0.25">
      <c r="A19" s="89" t="s">
        <v>558</v>
      </c>
      <c r="B19" s="89"/>
      <c r="C19" s="90">
        <f>SUM(C6:C18)</f>
      </c>
      <c r="D19" s="91"/>
      <c r="E19" s="92" t="s">
        <v>559</v>
      </c>
    </row>
    <row r="20" spans="1:5" x14ac:dyDescent="0.25">
      <c r="A20" s="89" t="s">
        <v>560</v>
      </c>
      <c r="B20" s="89"/>
      <c r="C20" s="90">
        <f>SUMIF(D6:D18,"포함",C6:C18)</f>
      </c>
      <c r="D20" s="91"/>
      <c r="E20" s="92" t="s">
        <v>561</v>
      </c>
    </row>
    <row r="22" ht="24" customHeight="1" spans="1:5" x14ac:dyDescent="0.25">
      <c r="A22" s="3" t="s">
        <v>562</v>
      </c>
      <c r="B22" s="3"/>
      <c r="C22" s="3"/>
      <c r="D22" s="3"/>
      <c r="E22" s="3"/>
    </row>
    <row r="23" spans="1:5" x14ac:dyDescent="0.25">
      <c r="A23" s="93" t="s">
        <v>563</v>
      </c>
      <c r="B23" s="93"/>
      <c r="C23" s="88" t="s">
        <v>532</v>
      </c>
      <c r="D23" s="44"/>
      <c r="E23" s="54" t="s">
        <v>564</v>
      </c>
    </row>
    <row r="24" spans="1:5" x14ac:dyDescent="0.25">
      <c r="A24" s="93" t="s">
        <v>565</v>
      </c>
      <c r="B24" s="93"/>
      <c r="C24" s="73">
        <v>0.1</v>
      </c>
      <c r="D24" s="44"/>
      <c r="E24" s="54" t="s">
        <v>566</v>
      </c>
    </row>
    <row r="25" spans="1:5" x14ac:dyDescent="0.25">
      <c r="A25" s="93" t="s">
        <v>567</v>
      </c>
      <c r="B25" s="93"/>
      <c r="C25" s="94">
        <f>IF(C23="포함",1+C24,1)</f>
      </c>
      <c r="D25" s="44"/>
      <c r="E25" s="54" t="s">
        <v>568</v>
      </c>
    </row>
    <row r="26" spans="1:5" x14ac:dyDescent="0.25">
      <c r="A26" s="93" t="s">
        <v>569</v>
      </c>
      <c r="B26" s="93"/>
      <c r="C26" s="55">
        <v>70688000</v>
      </c>
      <c r="D26" s="44"/>
      <c r="E26" s="54" t="s">
        <v>570</v>
      </c>
    </row>
    <row r="27" spans="1:5" x14ac:dyDescent="0.25">
      <c r="A27" s="93" t="s">
        <v>571</v>
      </c>
      <c r="B27" s="93"/>
      <c r="C27" s="57">
        <f>ROUND(C26/C25,0)</f>
      </c>
      <c r="D27" s="44"/>
      <c r="E27" s="54" t="s">
        <v>572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573</v>
      </c>
    </row>
    <row r="29" spans="1:5" x14ac:dyDescent="0.25">
      <c r="A29" s="93" t="s">
        <v>574</v>
      </c>
      <c r="B29" s="93"/>
      <c r="C29" s="73">
        <v>0.3</v>
      </c>
      <c r="D29" s="44"/>
      <c r="E29" s="54" t="s">
        <v>575</v>
      </c>
    </row>
    <row r="30" spans="1:5" x14ac:dyDescent="0.25">
      <c r="A30" s="93" t="s">
        <v>576</v>
      </c>
      <c r="B30" s="93"/>
      <c r="C30" s="73">
        <v>0.38</v>
      </c>
      <c r="D30" s="44"/>
      <c r="E30" s="54" t="s">
        <v>577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578</v>
      </c>
      <c r="B1" s="1"/>
      <c r="C1" s="1"/>
      <c r="D1" s="1"/>
      <c r="E1" s="1"/>
    </row>
    <row r="2" ht="22" customHeight="1" spans="1:5" x14ac:dyDescent="0.25">
      <c r="A2" s="2" t="s">
        <v>579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580</v>
      </c>
      <c r="D4" s="30" t="s">
        <v>581</v>
      </c>
      <c r="E4" s="30" t="s">
        <v>582</v>
      </c>
    </row>
    <row r="5" spans="1:5" x14ac:dyDescent="0.25">
      <c r="A5" s="53">
        <v>1</v>
      </c>
      <c r="B5" s="95" t="s">
        <v>583</v>
      </c>
      <c r="C5" s="44" t="s">
        <v>106</v>
      </c>
      <c r="D5" s="44" t="s">
        <v>238</v>
      </c>
      <c r="E5" s="54" t="s">
        <v>584</v>
      </c>
    </row>
    <row r="6" spans="1:5" x14ac:dyDescent="0.25">
      <c r="A6" s="63">
        <v>2</v>
      </c>
      <c r="B6" s="96" t="s">
        <v>583</v>
      </c>
      <c r="C6" s="49" t="s">
        <v>127</v>
      </c>
      <c r="D6" s="49" t="s">
        <v>238</v>
      </c>
      <c r="E6" s="64" t="s">
        <v>584</v>
      </c>
    </row>
    <row r="7" spans="1:5" x14ac:dyDescent="0.25">
      <c r="A7" s="53">
        <v>3</v>
      </c>
      <c r="B7" s="95" t="s">
        <v>583</v>
      </c>
      <c r="C7" s="44" t="s">
        <v>149</v>
      </c>
      <c r="D7" s="44" t="s">
        <v>238</v>
      </c>
      <c r="E7" s="54" t="s">
        <v>584</v>
      </c>
    </row>
    <row r="8" spans="1:5" x14ac:dyDescent="0.25">
      <c r="A8" s="63">
        <v>4</v>
      </c>
      <c r="B8" s="96" t="s">
        <v>583</v>
      </c>
      <c r="C8" s="49" t="s">
        <v>153</v>
      </c>
      <c r="D8" s="49" t="s">
        <v>238</v>
      </c>
      <c r="E8" s="64" t="s">
        <v>584</v>
      </c>
    </row>
    <row r="9" spans="1:5" x14ac:dyDescent="0.25">
      <c r="A9" s="53">
        <v>5</v>
      </c>
      <c r="B9" s="95" t="s">
        <v>583</v>
      </c>
      <c r="C9" s="44" t="s">
        <v>154</v>
      </c>
      <c r="D9" s="44" t="s">
        <v>238</v>
      </c>
      <c r="E9" s="54" t="s">
        <v>584</v>
      </c>
    </row>
    <row r="10" spans="1:5" x14ac:dyDescent="0.25">
      <c r="A10" s="63">
        <v>6</v>
      </c>
      <c r="B10" s="96" t="s">
        <v>585</v>
      </c>
      <c r="C10" s="49" t="s">
        <v>167</v>
      </c>
      <c r="D10" s="49" t="s">
        <v>586</v>
      </c>
      <c r="E10" s="64" t="s">
        <v>587</v>
      </c>
    </row>
    <row r="11" spans="1:5" x14ac:dyDescent="0.25">
      <c r="A11" s="53">
        <v>7</v>
      </c>
      <c r="B11" s="95" t="s">
        <v>583</v>
      </c>
      <c r="C11" s="44" t="s">
        <v>167</v>
      </c>
      <c r="D11" s="44" t="s">
        <v>397</v>
      </c>
      <c r="E11" s="54" t="s">
        <v>584</v>
      </c>
    </row>
    <row r="12" spans="1:5" x14ac:dyDescent="0.25">
      <c r="A12" s="63">
        <v>8</v>
      </c>
      <c r="B12" s="96" t="s">
        <v>585</v>
      </c>
      <c r="C12" s="49" t="s">
        <v>170</v>
      </c>
      <c r="D12" s="49" t="s">
        <v>586</v>
      </c>
      <c r="E12" s="64" t="s">
        <v>587</v>
      </c>
    </row>
    <row r="13" spans="1:5" x14ac:dyDescent="0.25">
      <c r="A13" s="53">
        <v>9</v>
      </c>
      <c r="B13" s="95" t="s">
        <v>585</v>
      </c>
      <c r="C13" s="44" t="s">
        <v>171</v>
      </c>
      <c r="D13" s="44" t="s">
        <v>586</v>
      </c>
      <c r="E13" s="54" t="s">
        <v>587</v>
      </c>
    </row>
    <row r="14" spans="1:5" x14ac:dyDescent="0.25">
      <c r="A14" s="63">
        <v>10</v>
      </c>
      <c r="B14" s="96" t="s">
        <v>585</v>
      </c>
      <c r="C14" s="49" t="s">
        <v>172</v>
      </c>
      <c r="D14" s="49" t="s">
        <v>586</v>
      </c>
      <c r="E14" s="64" t="s">
        <v>587</v>
      </c>
    </row>
    <row r="15" spans="1:5" x14ac:dyDescent="0.25">
      <c r="A15" s="53">
        <v>11</v>
      </c>
      <c r="B15" s="95" t="s">
        <v>585</v>
      </c>
      <c r="C15" s="44" t="s">
        <v>173</v>
      </c>
      <c r="D15" s="44" t="s">
        <v>586</v>
      </c>
      <c r="E15" s="54" t="s">
        <v>587</v>
      </c>
    </row>
    <row r="16" spans="1:5" x14ac:dyDescent="0.25">
      <c r="A16" s="63">
        <v>12</v>
      </c>
      <c r="B16" s="96" t="s">
        <v>585</v>
      </c>
      <c r="C16" s="49" t="s">
        <v>174</v>
      </c>
      <c r="D16" s="49" t="s">
        <v>586</v>
      </c>
      <c r="E16" s="64" t="s">
        <v>587</v>
      </c>
    </row>
    <row r="17" spans="1:5" x14ac:dyDescent="0.25">
      <c r="A17" s="53">
        <v>13</v>
      </c>
      <c r="B17" s="95" t="s">
        <v>585</v>
      </c>
      <c r="C17" s="44" t="s">
        <v>176</v>
      </c>
      <c r="D17" s="44" t="s">
        <v>586</v>
      </c>
      <c r="E17" s="54" t="s">
        <v>587</v>
      </c>
    </row>
    <row r="18" spans="1:5" x14ac:dyDescent="0.25">
      <c r="A18" s="63">
        <v>14</v>
      </c>
      <c r="B18" s="96" t="s">
        <v>585</v>
      </c>
      <c r="C18" s="49" t="s">
        <v>181</v>
      </c>
      <c r="D18" s="49" t="s">
        <v>586</v>
      </c>
      <c r="E18" s="64" t="s">
        <v>587</v>
      </c>
    </row>
    <row r="19" spans="1:5" x14ac:dyDescent="0.25">
      <c r="A19" s="53">
        <v>15</v>
      </c>
      <c r="B19" s="95" t="s">
        <v>588</v>
      </c>
      <c r="C19" s="44" t="s">
        <v>586</v>
      </c>
      <c r="D19" s="44" t="s">
        <v>480</v>
      </c>
      <c r="E19" s="54" t="s">
        <v>589</v>
      </c>
    </row>
    <row r="20" spans="1:5" x14ac:dyDescent="0.25">
      <c r="A20" s="63">
        <v>16</v>
      </c>
      <c r="B20" s="96" t="s">
        <v>590</v>
      </c>
      <c r="C20" s="49" t="s">
        <v>586</v>
      </c>
      <c r="D20" s="49" t="s">
        <v>489</v>
      </c>
      <c r="E20" s="64" t="s">
        <v>591</v>
      </c>
    </row>
    <row r="21" spans="1:5" x14ac:dyDescent="0.25">
      <c r="A21" s="53">
        <v>17</v>
      </c>
      <c r="B21" s="95" t="s">
        <v>590</v>
      </c>
      <c r="C21" s="44" t="s">
        <v>586</v>
      </c>
      <c r="D21" s="44" t="s">
        <v>491</v>
      </c>
      <c r="E21" s="54" t="s">
        <v>591</v>
      </c>
    </row>
    <row r="22" spans="1:5" x14ac:dyDescent="0.25">
      <c r="A22" s="63">
        <v>18</v>
      </c>
      <c r="B22" s="96" t="s">
        <v>588</v>
      </c>
      <c r="C22" s="49" t="s">
        <v>586</v>
      </c>
      <c r="D22" s="49" t="s">
        <v>405</v>
      </c>
      <c r="E22" s="64" t="s">
        <v>589</v>
      </c>
    </row>
    <row r="23" spans="1:5" x14ac:dyDescent="0.25">
      <c r="A23" s="53">
        <v>19</v>
      </c>
      <c r="B23" s="95" t="s">
        <v>590</v>
      </c>
      <c r="C23" s="44" t="s">
        <v>586</v>
      </c>
      <c r="D23" s="44" t="s">
        <v>500</v>
      </c>
      <c r="E23" s="54" t="s">
        <v>591</v>
      </c>
    </row>
    <row r="24" spans="1:5" x14ac:dyDescent="0.25">
      <c r="A24" s="63">
        <v>20</v>
      </c>
      <c r="B24" s="96" t="s">
        <v>590</v>
      </c>
      <c r="C24" s="49" t="s">
        <v>586</v>
      </c>
      <c r="D24" s="49" t="s">
        <v>505</v>
      </c>
      <c r="E24" s="64" t="s">
        <v>591</v>
      </c>
    </row>
    <row r="25" spans="1:5" x14ac:dyDescent="0.25">
      <c r="A25" s="53">
        <v>21</v>
      </c>
      <c r="B25" s="95" t="s">
        <v>590</v>
      </c>
      <c r="C25" s="44" t="s">
        <v>586</v>
      </c>
      <c r="D25" s="44" t="s">
        <v>506</v>
      </c>
      <c r="E25" s="54" t="s">
        <v>591</v>
      </c>
    </row>
    <row r="26" spans="1:5" x14ac:dyDescent="0.25">
      <c r="A26" s="63">
        <v>22</v>
      </c>
      <c r="B26" s="96" t="s">
        <v>590</v>
      </c>
      <c r="C26" s="49" t="s">
        <v>586</v>
      </c>
      <c r="D26" s="49" t="s">
        <v>507</v>
      </c>
      <c r="E26" s="64" t="s">
        <v>591</v>
      </c>
    </row>
    <row r="27" spans="1:5" x14ac:dyDescent="0.25">
      <c r="A27" s="53">
        <v>23</v>
      </c>
      <c r="B27" s="95" t="s">
        <v>588</v>
      </c>
      <c r="C27" s="44" t="s">
        <v>586</v>
      </c>
      <c r="D27" s="44" t="s">
        <v>420</v>
      </c>
      <c r="E27" s="54" t="s">
        <v>589</v>
      </c>
    </row>
    <row r="28" spans="1:5" x14ac:dyDescent="0.25">
      <c r="A28" s="63">
        <v>24</v>
      </c>
      <c r="B28" s="96" t="s">
        <v>592</v>
      </c>
      <c r="C28" s="49" t="s">
        <v>586</v>
      </c>
      <c r="D28" s="49" t="s">
        <v>546</v>
      </c>
      <c r="E28" s="64" t="s">
        <v>593</v>
      </c>
    </row>
    <row r="29" spans="1:5" x14ac:dyDescent="0.25">
      <c r="A29" s="53">
        <v>25</v>
      </c>
      <c r="B29" s="95" t="s">
        <v>592</v>
      </c>
      <c r="C29" s="44" t="s">
        <v>586</v>
      </c>
      <c r="D29" s="44" t="s">
        <v>557</v>
      </c>
      <c r="E29" s="54" t="s">
        <v>594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2026-09-16T07:36:58Z</dcterms:created>
  <dcterms:modified xsi:type="dcterms:W3CDTF">2026-09-16T07:36:58Z</dcterms:modified>
</cp:coreProperties>
</file>
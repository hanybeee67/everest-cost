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<sst xmlns="http://schemas.openxmlformats.org/spreadsheetml/2006/main" count="455" uniqueCount="232">
  <si>
    <t>📘 우리 매장 · 레시피 · 원가 관리</t>
  </si>
  <si>
    <t>예시 데이터가 들어 있습니다 — 지우고 우리 가게 것으로 채우세요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</si>
  <si>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</si>
  <si>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</si>
  <si>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</si>
  <si>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</si>
  <si>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</si>
  <si>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</si>
  <si>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</si>
  <si>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</si>
  <si>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</si>
  <si>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</si>
  <si>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</si>
  <si>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</si>
  <si>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</si>
  <si>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</si>
  <si>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</si>
  <si>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</si>
  <si>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</si>
  <si>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</si>
  <si>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</si>
  <si>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</si>
  <si>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</si>
  <si>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</si>
  <si>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</si>
  <si>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</si>
  <si>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</si>
  <si>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</si>
  <si>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</si>
  <si>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</si>
  <si>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</si>
  <si>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</si>
  <si>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</si>
  <si>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</si>
  <si>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</si>
  <si>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</si>
  <si>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</si>
  <si>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</si>
  <si>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</si>
  <si>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</si>
  <si>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</si>
  <si>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</si>
  <si>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</si>
  <si>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</si>
  <si>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</si>
  <si>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</si>
  <si>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</si>
  <si>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</si>
  <si>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</si>
  <si>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</si>
  <si>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</si>
  <si>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</si>
  <si>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</si>
  <si>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</si>
  <si>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</si>
  <si>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</si>
  <si>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</si>
  <si>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</si>
  <si>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</si>
  <si>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</si>
  <si>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</si>
  <si>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</si>
  <si>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</si>
  <si>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</si>
  <si>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</si>
  <si>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</si>
  <si>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</si>
  <si>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</si>
  <si>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</si>
  <si>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</si>
  <si>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</si>
  <si>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</si>
  <si>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</si>
  <si>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</si>
  <si>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</si>
  <si>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🍳 메인 요리</t>
  </si>
  <si>
    <t>🥗 사이드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</si>
  <si>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</si>
  <si>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</si>
  <si>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</si>
  <si>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</si>
  <si>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</si>
  <si>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</si>
  <si>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</si>
  <si>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4개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</si>
  <si>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</si>
  <si>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</si>
  <si>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</si>
  <si>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</si>
  <si>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</si>
  <si>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</si>
  <si>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</si>
  <si>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</si>
  <si>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치킨 볶음밥</t>
  </si>
  <si>
    <t>감자 크림 수프</t>
  </si>
  <si>
    <t>콜라</t>
  </si>
  <si>
    <t>런치 세트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</si>
  <si>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</si>
  <si>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</si>
  <si>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</si>
  <si>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</si>
  <si>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</si>
  <si>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</si>
  <si>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</si>
  <si>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</si>
  <si>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</si>
  <si>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</si>
  <si>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</si>
  <si>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</si>
  <si>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</si>
  <si>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</si>
  <si>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</si>
  <si>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쌀</t>
  </si>
  <si>
    <t>g</t>
  </si>
  <si>
    <t>지은 밥 기준</t>
  </si>
  <si>
    <t>닭가슴살</t>
  </si>
  <si>
    <t>손질 손실 10% 반영</t>
  </si>
  <si>
    <t>양파</t>
  </si>
  <si>
    <t>잘게 썰기</t>
  </si>
  <si>
    <t>당근</t>
  </si>
  <si>
    <t>식용유</t>
  </si>
  <si>
    <t>소금</t>
  </si>
  <si>
    <t>후추</t>
  </si>
  <si>
    <t>대파</t>
  </si>
  <si>
    <t>고명</t>
  </si>
  <si>
    <t>프렙</t>
  </si>
  <si>
    <t>기본 볶음 소스</t>
  </si>
  <si>
    <t>미리 만들어 둔 소스</t>
  </si>
  <si>
    <t>감자</t>
  </si>
  <si>
    <t>껍질 손실 15% 반영</t>
  </si>
  <si>
    <t>우유</t>
  </si>
  <si>
    <t>120ml ≈ 120g</t>
  </si>
  <si>
    <t>버터</t>
  </si>
  <si>
    <t>무료</t>
  </si>
  <si>
    <t>물</t>
  </si>
  <si>
    <t>수돗물 — 원가 0원 처리</t>
  </si>
  <si>
    <t>콜라 (355ml 캔)</t>
  </si>
  <si>
    <t>개</t>
  </si>
  <si>
    <t>개수로 계산되는 예시입니다</t>
  </si>
  <si>
    <t>메뉴</t>
  </si>
  <si>
    <t>단품 원가를 그대로 가져옵니다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</si>
  <si>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</si>
  <si>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</si>
  <si>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</si>
  <si>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</si>
  <si>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</si>
  <si>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</si>
  <si>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</si>
  <si>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</si>
  <si>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L</t>
  </si>
  <si>
    <t>간장</t>
  </si>
  <si>
    <t>개수 단위 (원/개)</t>
  </si>
  <si>
    <t>배달 용기 (중)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</si>
  <si>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</si>
  <si>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</si>
  <si>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</si>
  <si>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</si>
  <si>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</si>
  <si>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</si>
  <si>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</si>
  <si>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</si>
  <si>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</si>
  <si>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</si>
  <si>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</si>
  <si>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</si>
  <si>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</si>
  <si>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</si>
  <si>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</si>
  <si>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</si>
  <si>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</si>
  <si>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인건비</t>
  </si>
  <si>
    <t>포함</t>
  </si>
  <si>
    <t>급여 · 4대보험 사용자 부담분</t>
  </si>
  <si>
    <t>임대료</t>
  </si>
  <si>
    <t>월 임대료 · 관리비</t>
  </si>
  <si>
    <t>공과금</t>
  </si>
  <si>
    <t>수도 · 전기 · 가스</t>
  </si>
  <si>
    <t>배달·광고 수수료</t>
  </si>
  <si>
    <t>배달앱 수수료 · 마케팅비</t>
  </si>
  <si>
    <t>식재료 매입비</t>
  </si>
  <si>
    <t>제외</t>
  </si>
  <si>
    <t>메뉴별 식재료 원가에 이미 반영 → 고정비 배분에서 제외 (이중 계산 방지)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</si>
  <si>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</si>
  <si>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</si>
  <si>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</si>
  <si>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</si>
  <si>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</si>
  <si>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</si>
  <si>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</si>
  <si>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</si>
  <si>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</si>
  <si>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</si>
  <si>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</si>
  <si>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</si>
  <si>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</si>
  <si>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</si>
  <si>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</si>
  <si>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</si>
  <si>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</si>
  <si>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</si>
  <si>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</si>
  <si>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</si>
  <si>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</si>
  <si>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</si>
  <si>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</si>
  <si>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</si>
  <si>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</si>
  <si>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시작하기</t>
  </si>
  <si>
    <t>-</t>
  </si>
  <si>
    <t>① 관리자 로그인 등록</t>
  </si>
  <si>
    <t>화면 위 🔒 을 눌러 원하는 아이디·비밀번호를 정하세요. 등록 전에는 아무 값으로나 로그인되니, 직원에게 파일을 주기 전에 먼저 등록해 두세요.</t>
  </si>
  <si>
    <t>② 가게 이름 바꾸기</t>
  </si>
  <si>
    <t>[고정비] 화면 맨 아래 「기본 정보」에서 가게 이름을 입력하세요. 화면과 엑셀 제목에 반영됩니다.</t>
  </si>
  <si>
    <t>③ 식재료 등록</t>
  </si>
  <si>
    <t>[식재료] 화면에서 사 오는 재료와 구매가격·규격을 넣으세요. 엑셀을 쓰고 계시면 「📋 엑셀에서 일괄 등록」으로 한 번에 넣을 수 있습니다.</t>
  </si>
  <si>
    <t>④ 고정비·월매출 입력</t>
  </si>
  <si>
    <t>[고정비] 화면에서 인건비·임대료와 월 추정매출을 우리 가게 값으로 바꾸세요. 이 둘로 메뉴마다 붙는 고정비가 정해집니다.</t>
  </si>
  <si>
    <t>⑤ 메뉴와 레시피 등록</t>
  </si>
  <si>
    <t>[메뉴] 화면에서 메뉴를 추가하고, 메뉴를 눌러 재료·조리법·사진을 채우세요. 주방 화면에 그대로 나갑니다.</t>
  </si>
  <si>
    <t>⑥ 배달하신다면 포장용기를 꼭 넣으세요</t>
  </si>
  <si>
    <t>포장용기·수저·비닐봉투는 개수로 사는 품목이라 빠뜨리기 쉽습니다. [식재료]에 「개수」 단위로 등록한 뒤 배달 메뉴에 재료로 넣으면 원가에 반영됩니다. 예시로 「배달 용기 (중)」을 넣어 두었습니다.</t>
  </si>
  <si>
    <t>⑦ 예시 데이터 정리</t>
  </si>
  <si>
    <t>치킨 볶음밥 · 감자 크림 수프 · 콜라 · 런치 세트는 사용법을 보여주기 위한 예시입니다. 다 익히셨으면 지우세요.</t>
  </si>
  <si>
    <t>예시 데이터</t>
  </si>
  <si>
    <t>식재료 + 프렙 사용 예시</t>
  </si>
  <si>
    <t>일반 식재료와 미리 만들어 둔 프렙(반제품)을 함께 쓰는 메뉴입니다. 수율 90%도 함께 보여줍니다.</t>
  </si>
  <si>
    <t>수율 · 무료 항목 예시</t>
  </si>
  <si>
    <t>껍질을 벗겨 버리는 손실(수율 85%)과 원가가 들지 않는 수돗물(무료) 처리 예시입니다.</t>
  </si>
  <si>
    <t>개수 단위 예시</t>
  </si>
  <si>
    <t>캔·병·포장용기처럼 무게가 아니라 개수로 사는 품목의 원가 계산 예시입니다. 24개 21,000원 → 1개 875원.</t>
  </si>
  <si>
    <t>세트메뉴 예시</t>
  </si>
  <si>
    <t>다른 메뉴를 구성품으로 넣으면 그 메뉴의 식재료 원가가 자동으로 합산됩니다.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</si>
</sst>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원가표'!$C$6:$C$9)</f>
      </c>
      <c r="C5" s="16"/>
      <c r="D5" s="17">
        <f>IF('④ 메뉴 원가표'!$E$10&gt;0,'④ 메뉴 원가표'!$F$10/'④ 메뉴 원가표'!$E$10,0)</f>
      </c>
      <c r="E5" s="17"/>
      <c r="F5" s="17">
        <f>IF('④ 메뉴 원가표'!$E$10&gt;0,'④ 메뉴 원가표'!$I$10/'④ 메뉴 원가표'!$E$10,0)</f>
      </c>
      <c r="G5" s="17"/>
      <c r="H5" s="17">
        <f>IF('④ 메뉴 원가표'!$E$10&gt;0,('④ 메뉴 원가표'!$E$10-'④ 메뉴 원가표'!$I$10)/'④ 메뉴 원가표'!$E$10,0)</f>
      </c>
      <c r="I5" s="17"/>
      <c r="J5" s="17">
        <f>'③ 고정비 설정'!$C$20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원가표'!$M$6:$M$9,"*양호*")</f>
      </c>
      <c r="E8" s="20">
        <f>IF(COUNTA('④ 메뉴 원가표'!$C$6:$C$9)&gt;0,D8/COUNTA('④ 메뉴 원가표'!$C$6:$C$9),0)</f>
      </c>
    </row>
    <row r="9" spans="2:5" x14ac:dyDescent="0.25">
      <c r="B9" s="21" t="s">
        <v>24</v>
      </c>
      <c r="C9" s="21"/>
      <c r="D9" s="22">
        <f>COUNTIF('④ 메뉴 원가표'!$M$6:$M$9,"*주의*")</f>
      </c>
      <c r="E9" s="23">
        <f>IF(COUNTA('④ 메뉴 원가표'!$C$6:$C$9)&gt;0,D9/COUNTA('④ 메뉴 원가표'!$C$6:$C$9),0)</f>
      </c>
    </row>
    <row r="10" spans="2:5" x14ac:dyDescent="0.25">
      <c r="B10" s="24" t="s">
        <v>26</v>
      </c>
      <c r="C10" s="24"/>
      <c r="D10" s="25">
        <f>COUNTIF('④ 메뉴 원가표'!$M$6:$M$9,"*과다*")</f>
      </c>
      <c r="E10" s="26">
        <f>IF(COUNTA('④ 메뉴 원가표'!$C$6:$C$9)&gt;0,D10/COUNTA('④ 메뉴 원가표'!$C$6:$C$9),0)</f>
      </c>
    </row>
    <row r="11" spans="2:5" x14ac:dyDescent="0.25">
      <c r="B11" s="27" t="s">
        <v>64</v>
      </c>
      <c r="C11" s="27"/>
      <c r="D11" s="28">
        <f>COUNTIF('④ 메뉴 원가표'!$M$6:$M$9,"*판매가*")</f>
      </c>
      <c r="E11" s="29">
        <f>IF(COUNTA('④ 메뉴 원가표'!$C$6:$C$9)&gt;0,D11/COUNTA('④ 메뉴 원가표'!$C$6:$C$9),0)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원가표'!$B$6:$B$9,"🍳 메인 요리")</f>
      </c>
      <c r="D15" s="33">
        <f>SUMIF('④ 메뉴 원가표'!$B$6:$B$9,"🍳 메인 요리",'④ 메뉴 원가표'!$D$6:$D$9)</f>
      </c>
      <c r="E15" s="33">
        <f>SUMIF('④ 메뉴 원가표'!$B$6:$B$9,"🍳 메인 요리",'④ 메뉴 원가표'!$E$6:$E$9)</f>
      </c>
      <c r="F15" s="33">
        <f>SUMIF('④ 메뉴 원가표'!$B$6:$B$9,"🍳 메인 요리",'④ 메뉴 원가표'!$F$6:$F$9)</f>
      </c>
      <c r="G15" s="34">
        <f>IF(E15&gt;0,F15/E15,"")</f>
      </c>
      <c r="H15" s="33">
        <f>SUMIF('④ 메뉴 원가표'!$B$6:$B$9,"🍳 메인 요리",'④ 메뉴 원가표'!$H$6:$H$9)</f>
      </c>
      <c r="I15" s="33">
        <f>SUMIF('④ 메뉴 원가표'!$B$6:$B$9,"🍳 메인 요리",'④ 메뉴 원가표'!$I$6:$I$9)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원가표'!$B$6:$B$9,"🥗 사이드")</f>
      </c>
      <c r="D16" s="38">
        <f>SUMIF('④ 메뉴 원가표'!$B$6:$B$9,"🥗 사이드",'④ 메뉴 원가표'!$D$6:$D$9)</f>
      </c>
      <c r="E16" s="38">
        <f>SUMIF('④ 메뉴 원가표'!$B$6:$B$9,"🥗 사이드",'④ 메뉴 원가표'!$E$6:$E$9)</f>
      </c>
      <c r="F16" s="38">
        <f>SUMIF('④ 메뉴 원가표'!$B$6:$B$9,"🥗 사이드",'④ 메뉴 원가표'!$F$6:$F$9)</f>
      </c>
      <c r="G16" s="39">
        <f>IF(E16&gt;0,F16/E16,"")</f>
      </c>
      <c r="H16" s="38">
        <f>SUMIF('④ 메뉴 원가표'!$B$6:$B$9,"🥗 사이드",'④ 메뉴 원가표'!$H$6:$H$9)</f>
      </c>
      <c r="I16" s="38">
        <f>SUMIF('④ 메뉴 원가표'!$B$6:$B$9,"🥗 사이드",'④ 메뉴 원가표'!$I$6:$I$9)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원가표'!$B$6:$B$9,"🥤 음료")</f>
      </c>
      <c r="D17" s="33">
        <f>SUMIF('④ 메뉴 원가표'!$B$6:$B$9,"🥤 음료",'④ 메뉴 원가표'!$D$6:$D$9)</f>
      </c>
      <c r="E17" s="33">
        <f>SUMIF('④ 메뉴 원가표'!$B$6:$B$9,"🥤 음료",'④ 메뉴 원가표'!$E$6:$E$9)</f>
      </c>
      <c r="F17" s="33">
        <f>SUMIF('④ 메뉴 원가표'!$B$6:$B$9,"🥤 음료",'④ 메뉴 원가표'!$F$6:$F$9)</f>
      </c>
      <c r="G17" s="34">
        <f>IF(E17&gt;0,F17/E17,"")</f>
      </c>
      <c r="H17" s="33">
        <f>SUMIF('④ 메뉴 원가표'!$B$6:$B$9,"🥤 음료",'④ 메뉴 원가표'!$H$6:$H$9)</f>
      </c>
      <c r="I17" s="33">
        <f>SUMIF('④ 메뉴 원가표'!$B$6:$B$9,"🥤 음료",'④ 메뉴 원가표'!$I$6:$I$9)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원가표'!$B$6:$B$9,"🍽 세트메뉴")</f>
      </c>
      <c r="D18" s="38">
        <f>SUMIF('④ 메뉴 원가표'!$B$6:$B$9,"🍽 세트메뉴",'④ 메뉴 원가표'!$D$6:$D$9)</f>
      </c>
      <c r="E18" s="38">
        <f>SUMIF('④ 메뉴 원가표'!$B$6:$B$9,"🍽 세트메뉴",'④ 메뉴 원가표'!$E$6:$E$9)</f>
      </c>
      <c r="F18" s="38">
        <f>SUMIF('④ 메뉴 원가표'!$B$6:$B$9,"🍽 세트메뉴",'④ 메뉴 원가표'!$F$6:$F$9)</f>
      </c>
      <c r="G18" s="39">
        <f>IF(E18&gt;0,F18/E18,"")</f>
      </c>
      <c r="H18" s="38">
        <f>SUMIF('④ 메뉴 원가표'!$B$6:$B$9,"🍽 세트메뉴",'④ 메뉴 원가표'!$H$6:$H$9)</f>
      </c>
      <c r="I18" s="38">
        <f>SUMIF('④ 메뉴 원가표'!$B$6:$B$9,"🍽 세트메뉴",'④ 메뉴 원가표'!$I$6:$I$9)</f>
      </c>
      <c r="J18" s="40">
        <f>IF(E18&gt;0,(E18-I18)/E18,"")</f>
      </c>
    </row>
    <row r="20" ht="24" customHeight="1" spans="1:11" x14ac:dyDescent="0.25">
      <c r="A20" s="41" t="s">
        <v>79</v>
      </c>
      <c r="B20" s="41"/>
      <c r="C20" s="41"/>
      <c r="D20" s="41"/>
      <c r="E20" s="41"/>
      <c r="F20" s="41"/>
      <c r="G20" s="41"/>
      <c r="H20" s="41"/>
      <c r="I20" s="41"/>
      <c r="J20" s="41"/>
      <c r="K20" s="41"/>
    </row>
    <row r="21" ht="26" customHeight="1" spans="1:11" x14ac:dyDescent="0.25">
      <c r="A21" s="30" t="s">
        <v>66</v>
      </c>
      <c r="B21" s="30" t="s">
        <v>80</v>
      </c>
      <c r="C21" s="30" t="s">
        <v>81</v>
      </c>
      <c r="D21" s="30" t="s">
        <v>82</v>
      </c>
      <c r="E21" s="30" t="s">
        <v>70</v>
      </c>
      <c r="F21" s="30" t="s">
        <v>71</v>
      </c>
      <c r="G21" s="30" t="s">
        <v>66</v>
      </c>
      <c r="H21" s="42" t="s">
        <v>83</v>
      </c>
      <c r="I21" s="42"/>
      <c r="J21" s="42"/>
      <c r="K21" s="30" t="s">
        <v>66</v>
      </c>
    </row>
    <row r="22" spans="2:10" x14ac:dyDescent="0.25">
      <c r="B22" s="43">
        <v>1</v>
      </c>
      <c r="C22" s="44">
        <f>IFERROR(INDEX('④ 메뉴 원가표'!$C$6:$C$9,MATCH(LARGE('④ 메뉴 원가표'!$N$6:$N$9,1),'④ 메뉴 원가표'!$N$6:$N$9,0)),"")</f>
      </c>
      <c r="D22" s="33">
        <f>IFERROR(INDEX('④ 메뉴 원가표'!$D$6:$D$9,MATCH(LARGE('④ 메뉴 원가표'!$N$6:$N$9,1),'④ 메뉴 원가표'!$N$6:$N$9,0)),"")</f>
      </c>
      <c r="E22" s="33">
        <f>IFERROR(INDEX('④ 메뉴 원가표'!$F$6:$F$9,MATCH(LARGE('④ 메뉴 원가표'!$N$6:$N$9,1),'④ 메뉴 원가표'!$N$6:$N$9,0)),"")</f>
      </c>
      <c r="F22" s="45">
        <f>IFERROR(INDEX('④ 메뉴 원가표'!$G$6:$G$9,MATCH(LARGE('④ 메뉴 원가표'!$N$6:$N$9,1),'④ 메뉴 원가표'!$N$6:$N$9,0)),"")</f>
      </c>
      <c r="G22" s="46" t="s">
        <v>66</v>
      </c>
      <c r="H22" s="43">
        <v>1</v>
      </c>
      <c r="I22" s="44">
        <f>IFERROR(INDEX('④ 메뉴 원가표'!$C$6:$C$9,MATCH(SMALL('④ 메뉴 원가표'!$N$6:$N$9,1),'④ 메뉴 원가표'!$N$6:$N$9,0)),"")</f>
      </c>
      <c r="J22" s="47">
        <f>IFERROR(INDEX('④ 메뉴 원가표'!$G$6:$G$9,MATCH(SMALL('④ 메뉴 원가표'!$N$6:$N$9,1),'④ 메뉴 원가표'!$N$6:$N$9,0)),"")</f>
      </c>
    </row>
    <row r="23" spans="2:10" x14ac:dyDescent="0.25">
      <c r="B23" s="48">
        <v>2</v>
      </c>
      <c r="C23" s="49">
        <f>IFERROR(INDEX('④ 메뉴 원가표'!$C$6:$C$9,MATCH(LARGE('④ 메뉴 원가표'!$N$6:$N$9,2),'④ 메뉴 원가표'!$N$6:$N$9,0)),"")</f>
      </c>
      <c r="D23" s="38">
        <f>IFERROR(INDEX('④ 메뉴 원가표'!$D$6:$D$9,MATCH(LARGE('④ 메뉴 원가표'!$N$6:$N$9,2),'④ 메뉴 원가표'!$N$6:$N$9,0)),"")</f>
      </c>
      <c r="E23" s="38">
        <f>IFERROR(INDEX('④ 메뉴 원가표'!$F$6:$F$9,MATCH(LARGE('④ 메뉴 원가표'!$N$6:$N$9,2),'④ 메뉴 원가표'!$N$6:$N$9,0)),"")</f>
      </c>
      <c r="F23" s="50">
        <f>IFERROR(INDEX('④ 메뉴 원가표'!$G$6:$G$9,MATCH(LARGE('④ 메뉴 원가표'!$N$6:$N$9,2),'④ 메뉴 원가표'!$N$6:$N$9,0)),"")</f>
      </c>
      <c r="G23" s="46" t="s">
        <v>66</v>
      </c>
      <c r="H23" s="48">
        <v>2</v>
      </c>
      <c r="I23" s="49">
        <f>IFERROR(INDEX('④ 메뉴 원가표'!$C$6:$C$9,MATCH(SMALL('④ 메뉴 원가표'!$N$6:$N$9,2),'④ 메뉴 원가표'!$N$6:$N$9,0)),"")</f>
      </c>
      <c r="J23" s="51">
        <f>IFERROR(INDEX('④ 메뉴 원가표'!$G$6:$G$9,MATCH(SMALL('④ 메뉴 원가표'!$N$6:$N$9,2),'④ 메뉴 원가표'!$N$6:$N$9,0)),"")</f>
      </c>
    </row>
    <row r="24" spans="2:10" x14ac:dyDescent="0.25">
      <c r="B24" s="43">
        <v>3</v>
      </c>
      <c r="C24" s="44">
        <f>IFERROR(INDEX('④ 메뉴 원가표'!$C$6:$C$9,MATCH(LARGE('④ 메뉴 원가표'!$N$6:$N$9,3),'④ 메뉴 원가표'!$N$6:$N$9,0)),"")</f>
      </c>
      <c r="D24" s="33">
        <f>IFERROR(INDEX('④ 메뉴 원가표'!$D$6:$D$9,MATCH(LARGE('④ 메뉴 원가표'!$N$6:$N$9,3),'④ 메뉴 원가표'!$N$6:$N$9,0)),"")</f>
      </c>
      <c r="E24" s="33">
        <f>IFERROR(INDEX('④ 메뉴 원가표'!$F$6:$F$9,MATCH(LARGE('④ 메뉴 원가표'!$N$6:$N$9,3),'④ 메뉴 원가표'!$N$6:$N$9,0)),"")</f>
      </c>
      <c r="F24" s="45">
        <f>IFERROR(INDEX('④ 메뉴 원가표'!$G$6:$G$9,MATCH(LARGE('④ 메뉴 원가표'!$N$6:$N$9,3),'④ 메뉴 원가표'!$N$6:$N$9,0)),"")</f>
      </c>
      <c r="G24" s="46" t="s">
        <v>66</v>
      </c>
      <c r="H24" s="43">
        <v>3</v>
      </c>
      <c r="I24" s="44">
        <f>IFERROR(INDEX('④ 메뉴 원가표'!$C$6:$C$9,MATCH(SMALL('④ 메뉴 원가표'!$N$6:$N$9,3),'④ 메뉴 원가표'!$N$6:$N$9,0)),"")</f>
      </c>
      <c r="J24" s="47">
        <f>IFERROR(INDEX('④ 메뉴 원가표'!$G$6:$G$9,MATCH(SMALL('④ 메뉴 원가표'!$N$6:$N$9,3),'④ 메뉴 원가표'!$N$6:$N$9,0)),"")</f>
      </c>
    </row>
    <row r="25" spans="2:10" x14ac:dyDescent="0.25">
      <c r="B25" s="48">
        <v>4</v>
      </c>
      <c r="C25" s="49">
        <f>IFERROR(INDEX('④ 메뉴 원가표'!$C$6:$C$9,MATCH(LARGE('④ 메뉴 원가표'!$N$6:$N$9,4),'④ 메뉴 원가표'!$N$6:$N$9,0)),"")</f>
      </c>
      <c r="D25" s="38">
        <f>IFERROR(INDEX('④ 메뉴 원가표'!$D$6:$D$9,MATCH(LARGE('④ 메뉴 원가표'!$N$6:$N$9,4),'④ 메뉴 원가표'!$N$6:$N$9,0)),"")</f>
      </c>
      <c r="E25" s="38">
        <f>IFERROR(INDEX('④ 메뉴 원가표'!$F$6:$F$9,MATCH(LARGE('④ 메뉴 원가표'!$N$6:$N$9,4),'④ 메뉴 원가표'!$N$6:$N$9,0)),"")</f>
      </c>
      <c r="F25" s="50">
        <f>IFERROR(INDEX('④ 메뉴 원가표'!$G$6:$G$9,MATCH(LARGE('④ 메뉴 원가표'!$N$6:$N$9,4),'④ 메뉴 원가표'!$N$6:$N$9,0)),"")</f>
      </c>
      <c r="G25" s="46" t="s">
        <v>66</v>
      </c>
      <c r="H25" s="48">
        <v>4</v>
      </c>
      <c r="I25" s="49">
        <f>IFERROR(INDEX('④ 메뉴 원가표'!$C$6:$C$9,MATCH(SMALL('④ 메뉴 원가표'!$N$6:$N$9,4),'④ 메뉴 원가표'!$N$6:$N$9,0)),"")</f>
      </c>
      <c r="J25" s="51">
        <f>IFERROR(INDEX('④ 메뉴 원가표'!$G$6:$G$9,MATCH(SMALL('④ 메뉴 원가표'!$N$6:$N$9,4),'④ 메뉴 원가표'!$N$6:$N$9,0)),"")</f>
      </c>
    </row>
    <row r="26" spans="2:10" x14ac:dyDescent="0.25">
      <c r="B26" s="43">
        <v>5</v>
      </c>
      <c r="C26" s="44">
        <f>IFERROR(INDEX('④ 메뉴 원가표'!$C$6:$C$9,MATCH(LARGE('④ 메뉴 원가표'!$N$6:$N$9,5),'④ 메뉴 원가표'!$N$6:$N$9,0)),"")</f>
      </c>
      <c r="D26" s="33">
        <f>IFERROR(INDEX('④ 메뉴 원가표'!$D$6:$D$9,MATCH(LARGE('④ 메뉴 원가표'!$N$6:$N$9,5),'④ 메뉴 원가표'!$N$6:$N$9,0)),"")</f>
      </c>
      <c r="E26" s="33">
        <f>IFERROR(INDEX('④ 메뉴 원가표'!$F$6:$F$9,MATCH(LARGE('④ 메뉴 원가표'!$N$6:$N$9,5),'④ 메뉴 원가표'!$N$6:$N$9,0)),"")</f>
      </c>
      <c r="F26" s="45">
        <f>IFERROR(INDEX('④ 메뉴 원가표'!$G$6:$G$9,MATCH(LARGE('④ 메뉴 원가표'!$N$6:$N$9,5),'④ 메뉴 원가표'!$N$6:$N$9,0)),"")</f>
      </c>
      <c r="G26" s="46" t="s">
        <v>66</v>
      </c>
      <c r="H26" s="43">
        <v>5</v>
      </c>
      <c r="I26" s="44">
        <f>IFERROR(INDEX('④ 메뉴 원가표'!$C$6:$C$9,MATCH(SMALL('④ 메뉴 원가표'!$N$6:$N$9,5),'④ 메뉴 원가표'!$N$6:$N$9,0)),"")</f>
      </c>
      <c r="J26" s="47">
        <f>IFERROR(INDEX('④ 메뉴 원가표'!$G$6:$G$9,MATCH(SMALL('④ 메뉴 원가표'!$N$6:$N$9,5),'④ 메뉴 원가표'!$N$6:$N$9,0)),"")</f>
      </c>
    </row>
    <row r="27" spans="2:10" x14ac:dyDescent="0.25">
      <c r="B27" s="48">
        <v>6</v>
      </c>
      <c r="C27" s="49">
        <f>IFERROR(INDEX('④ 메뉴 원가표'!$C$6:$C$9,MATCH(LARGE('④ 메뉴 원가표'!$N$6:$N$9,6),'④ 메뉴 원가표'!$N$6:$N$9,0)),"")</f>
      </c>
      <c r="D27" s="38">
        <f>IFERROR(INDEX('④ 메뉴 원가표'!$D$6:$D$9,MATCH(LARGE('④ 메뉴 원가표'!$N$6:$N$9,6),'④ 메뉴 원가표'!$N$6:$N$9,0)),"")</f>
      </c>
      <c r="E27" s="38">
        <f>IFERROR(INDEX('④ 메뉴 원가표'!$F$6:$F$9,MATCH(LARGE('④ 메뉴 원가표'!$N$6:$N$9,6),'④ 메뉴 원가표'!$N$6:$N$9,0)),"")</f>
      </c>
      <c r="F27" s="50">
        <f>IFERROR(INDEX('④ 메뉴 원가표'!$G$6:$G$9,MATCH(LARGE('④ 메뉴 원가표'!$N$6:$N$9,6),'④ 메뉴 원가표'!$N$6:$N$9,0)),"")</f>
      </c>
      <c r="G27" s="46" t="s">
        <v>66</v>
      </c>
      <c r="H27" s="48">
        <v>6</v>
      </c>
      <c r="I27" s="49">
        <f>IFERROR(INDEX('④ 메뉴 원가표'!$C$6:$C$9,MATCH(SMALL('④ 메뉴 원가표'!$N$6:$N$9,6),'④ 메뉴 원가표'!$N$6:$N$9,0)),"")</f>
      </c>
      <c r="J27" s="51">
        <f>IFERROR(INDEX('④ 메뉴 원가표'!$G$6:$G$9,MATCH(SMALL('④ 메뉴 원가표'!$N$6:$N$9,6),'④ 메뉴 원가표'!$N$6:$N$9,0)),"")</f>
      </c>
    </row>
    <row r="28" spans="2:10" x14ac:dyDescent="0.25">
      <c r="B28" s="43">
        <v>7</v>
      </c>
      <c r="C28" s="44">
        <f>IFERROR(INDEX('④ 메뉴 원가표'!$C$6:$C$9,MATCH(LARGE('④ 메뉴 원가표'!$N$6:$N$9,7),'④ 메뉴 원가표'!$N$6:$N$9,0)),"")</f>
      </c>
      <c r="D28" s="33">
        <f>IFERROR(INDEX('④ 메뉴 원가표'!$D$6:$D$9,MATCH(LARGE('④ 메뉴 원가표'!$N$6:$N$9,7),'④ 메뉴 원가표'!$N$6:$N$9,0)),"")</f>
      </c>
      <c r="E28" s="33">
        <f>IFERROR(INDEX('④ 메뉴 원가표'!$F$6:$F$9,MATCH(LARGE('④ 메뉴 원가표'!$N$6:$N$9,7),'④ 메뉴 원가표'!$N$6:$N$9,0)),"")</f>
      </c>
      <c r="F28" s="45">
        <f>IFERROR(INDEX('④ 메뉴 원가표'!$G$6:$G$9,MATCH(LARGE('④ 메뉴 원가표'!$N$6:$N$9,7),'④ 메뉴 원가표'!$N$6:$N$9,0)),"")</f>
      </c>
      <c r="G28" s="46" t="s">
        <v>66</v>
      </c>
      <c r="H28" s="43">
        <v>7</v>
      </c>
      <c r="I28" s="44">
        <f>IFERROR(INDEX('④ 메뉴 원가표'!$C$6:$C$9,MATCH(SMALL('④ 메뉴 원가표'!$N$6:$N$9,7),'④ 메뉴 원가표'!$N$6:$N$9,0)),"")</f>
      </c>
      <c r="J28" s="47">
        <f>IFERROR(INDEX('④ 메뉴 원가표'!$G$6:$G$9,MATCH(SMALL('④ 메뉴 원가표'!$N$6:$N$9,7),'④ 메뉴 원가표'!$N$6:$N$9,0)),"")</f>
      </c>
    </row>
    <row r="29" spans="2:10" x14ac:dyDescent="0.25">
      <c r="B29" s="48">
        <v>8</v>
      </c>
      <c r="C29" s="49">
        <f>IFERROR(INDEX('④ 메뉴 원가표'!$C$6:$C$9,MATCH(LARGE('④ 메뉴 원가표'!$N$6:$N$9,8),'④ 메뉴 원가표'!$N$6:$N$9,0)),"")</f>
      </c>
      <c r="D29" s="38">
        <f>IFERROR(INDEX('④ 메뉴 원가표'!$D$6:$D$9,MATCH(LARGE('④ 메뉴 원가표'!$N$6:$N$9,8),'④ 메뉴 원가표'!$N$6:$N$9,0)),"")</f>
      </c>
      <c r="E29" s="38">
        <f>IFERROR(INDEX('④ 메뉴 원가표'!$F$6:$F$9,MATCH(LARGE('④ 메뉴 원가표'!$N$6:$N$9,8),'④ 메뉴 원가표'!$N$6:$N$9,0)),"")</f>
      </c>
      <c r="F29" s="50">
        <f>IFERROR(INDEX('④ 메뉴 원가표'!$G$6:$G$9,MATCH(LARGE('④ 메뉴 원가표'!$N$6:$N$9,8),'④ 메뉴 원가표'!$N$6:$N$9,0)),"")</f>
      </c>
      <c r="G29" s="46" t="s">
        <v>66</v>
      </c>
      <c r="H29" s="48">
        <v>8</v>
      </c>
      <c r="I29" s="49">
        <f>IFERROR(INDEX('④ 메뉴 원가표'!$C$6:$C$9,MATCH(SMALL('④ 메뉴 원가표'!$N$6:$N$9,8),'④ 메뉴 원가표'!$N$6:$N$9,0)),"")</f>
      </c>
      <c r="J29" s="51">
        <f>IFERROR(INDEX('④ 메뉴 원가표'!$G$6:$G$9,MATCH(SMALL('④ 메뉴 원가표'!$N$6:$N$9,8),'④ 메뉴 원가표'!$N$6:$N$9,0)),"")</f>
      </c>
    </row>
    <row r="30" spans="2:10" x14ac:dyDescent="0.25">
      <c r="B30" s="43">
        <v>9</v>
      </c>
      <c r="C30" s="44">
        <f>IFERROR(INDEX('④ 메뉴 원가표'!$C$6:$C$9,MATCH(LARGE('④ 메뉴 원가표'!$N$6:$N$9,9),'④ 메뉴 원가표'!$N$6:$N$9,0)),"")</f>
      </c>
      <c r="D30" s="33">
        <f>IFERROR(INDEX('④ 메뉴 원가표'!$D$6:$D$9,MATCH(LARGE('④ 메뉴 원가표'!$N$6:$N$9,9),'④ 메뉴 원가표'!$N$6:$N$9,0)),"")</f>
      </c>
      <c r="E30" s="33">
        <f>IFERROR(INDEX('④ 메뉴 원가표'!$F$6:$F$9,MATCH(LARGE('④ 메뉴 원가표'!$N$6:$N$9,9),'④ 메뉴 원가표'!$N$6:$N$9,0)),"")</f>
      </c>
      <c r="F30" s="45">
        <f>IFERROR(INDEX('④ 메뉴 원가표'!$G$6:$G$9,MATCH(LARGE('④ 메뉴 원가표'!$N$6:$N$9,9),'④ 메뉴 원가표'!$N$6:$N$9,0)),"")</f>
      </c>
      <c r="G30" s="46" t="s">
        <v>66</v>
      </c>
      <c r="H30" s="43">
        <v>9</v>
      </c>
      <c r="I30" s="44">
        <f>IFERROR(INDEX('④ 메뉴 원가표'!$C$6:$C$9,MATCH(SMALL('④ 메뉴 원가표'!$N$6:$N$9,9),'④ 메뉴 원가표'!$N$6:$N$9,0)),"")</f>
      </c>
      <c r="J30" s="47">
        <f>IFERROR(INDEX('④ 메뉴 원가표'!$G$6:$G$9,MATCH(SMALL('④ 메뉴 원가표'!$N$6:$N$9,9),'④ 메뉴 원가표'!$N$6:$N$9,0)),"")</f>
      </c>
    </row>
    <row r="31" spans="2:10" x14ac:dyDescent="0.25">
      <c r="B31" s="48">
        <v>10</v>
      </c>
      <c r="C31" s="49">
        <f>IFERROR(INDEX('④ 메뉴 원가표'!$C$6:$C$9,MATCH(LARGE('④ 메뉴 원가표'!$N$6:$N$9,10),'④ 메뉴 원가표'!$N$6:$N$9,0)),"")</f>
      </c>
      <c r="D31" s="38">
        <f>IFERROR(INDEX('④ 메뉴 원가표'!$D$6:$D$9,MATCH(LARGE('④ 메뉴 원가표'!$N$6:$N$9,10),'④ 메뉴 원가표'!$N$6:$N$9,0)),"")</f>
      </c>
      <c r="E31" s="38">
        <f>IFERROR(INDEX('④ 메뉴 원가표'!$F$6:$F$9,MATCH(LARGE('④ 메뉴 원가표'!$N$6:$N$9,10),'④ 메뉴 원가표'!$N$6:$N$9,0)),"")</f>
      </c>
      <c r="F31" s="50">
        <f>IFERROR(INDEX('④ 메뉴 원가표'!$G$6:$G$9,MATCH(LARGE('④ 메뉴 원가표'!$N$6:$N$9,10),'④ 메뉴 원가표'!$N$6:$N$9,0)),"")</f>
      </c>
      <c r="G31" s="46" t="s">
        <v>66</v>
      </c>
      <c r="H31" s="48">
        <v>10</v>
      </c>
      <c r="I31" s="49">
        <f>IFERROR(INDEX('④ 메뉴 원가표'!$C$6:$C$9,MATCH(SMALL('④ 메뉴 원가표'!$N$6:$N$9,10),'④ 메뉴 원가표'!$N$6:$N$9,0)),"")</f>
      </c>
      <c r="J31" s="51">
        <f>IFERROR(INDEX('④ 메뉴 원가표'!$G$6:$G$9,MATCH(SMALL('④ 메뉴 원가표'!$N$6:$N$9,10),'④ 메뉴 원가표'!$N$6:$N$9,0)),"")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20:K20"/>
    <mergeCell ref="H21:J21"/>
  </mergeCells>
  <conditionalFormatting sqref="G15:G1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85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86</v>
      </c>
      <c r="B5" s="30" t="s">
        <v>67</v>
      </c>
      <c r="C5" s="30" t="s">
        <v>81</v>
      </c>
      <c r="D5" s="30" t="s">
        <v>87</v>
      </c>
      <c r="E5" s="30" t="s">
        <v>37</v>
      </c>
      <c r="F5" s="30" t="s">
        <v>70</v>
      </c>
      <c r="G5" s="30" t="s">
        <v>88</v>
      </c>
      <c r="H5" s="30" t="s">
        <v>72</v>
      </c>
      <c r="I5" s="30" t="s">
        <v>73</v>
      </c>
      <c r="J5" s="30" t="s">
        <v>89</v>
      </c>
      <c r="K5" s="30" t="s">
        <v>90</v>
      </c>
      <c r="L5" s="30" t="s">
        <v>74</v>
      </c>
      <c r="M5" s="30" t="s">
        <v>91</v>
      </c>
      <c r="N5" s="30" t="s">
        <v>92</v>
      </c>
    </row>
    <row r="6" spans="1:14" x14ac:dyDescent="0.25">
      <c r="A6" s="53">
        <v>1</v>
      </c>
      <c r="B6" s="54" t="s">
        <v>75</v>
      </c>
      <c r="C6" s="31" t="s">
        <v>93</v>
      </c>
      <c r="D6" s="55">
        <v>9000</v>
      </c>
      <c r="E6" s="56">
        <f>ROUND($D6/'③ 고정비 설정'!$C$17,0)</f>
      </c>
      <c r="F6" s="57">
        <f>ROUND(SUMIF('⑤ 레시피 상세'!$B$6:$B$21,$C6,'⑤ 레시피 상세'!$K$6:$K$21),1)</f>
      </c>
      <c r="G6" s="58">
        <f>IF($E6&gt;0,$F6/$E6,"")</f>
      </c>
      <c r="H6" s="57">
        <f>ROUND($E6*'③ 고정비 설정'!$C$20,0)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설정'!$C$21,"✅ 양호",IF($G6&lt;='③ 고정비 설정'!$C$22,"🟡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76</v>
      </c>
      <c r="C7" s="36" t="s">
        <v>94</v>
      </c>
      <c r="D7" s="55">
        <v>5000</v>
      </c>
      <c r="E7" s="56">
        <f>ROUND($D7/'③ 고정비 설정'!$C$17,0)</f>
      </c>
      <c r="F7" s="57">
        <f>ROUND(SUMIF('⑤ 레시피 상세'!$B$6:$B$21,$C7,'⑤ 레시피 상세'!$K$6:$K$21),1)</f>
      </c>
      <c r="G7" s="58">
        <f>IF($E7&gt;0,$F7/$E7,"")</f>
      </c>
      <c r="H7" s="57">
        <f>ROUND($E7*'③ 고정비 설정'!$C$20,0)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설정'!$C$21,"✅ 양호",IF($G7&lt;='③ 고정비 설정'!$C$22,"🟡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77</v>
      </c>
      <c r="C8" s="31" t="s">
        <v>95</v>
      </c>
      <c r="D8" s="55">
        <v>2000</v>
      </c>
      <c r="E8" s="56">
        <f>ROUND($D8/'③ 고정비 설정'!$C$17,0)</f>
      </c>
      <c r="F8" s="57">
        <f>ROUND(SUMIF('⑤ 레시피 상세'!$B$6:$B$21,$C8,'⑤ 레시피 상세'!$K$6:$K$21),1)</f>
      </c>
      <c r="G8" s="58">
        <f>IF($E8&gt;0,$F8/$E8,"")</f>
      </c>
      <c r="H8" s="57">
        <f>ROUND($E8*'③ 고정비 설정'!$C$20,0)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설정'!$C$21,"✅ 양호",IF($G8&lt;='③ 고정비 설정'!$C$22,"🟡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78</v>
      </c>
      <c r="C9" s="36" t="s">
        <v>96</v>
      </c>
      <c r="D9" s="55">
        <v>12000</v>
      </c>
      <c r="E9" s="56">
        <f>ROUND($D9/'③ 고정비 설정'!$C$17,0)</f>
      </c>
      <c r="F9" s="57">
        <f>ROUND(SUMIF('⑤ 레시피 상세'!$B$22:$B$23,$C9,'⑤ 레시피 상세'!$K$22:$K$23),1)</f>
      </c>
      <c r="G9" s="58">
        <f>IF($E9&gt;0,$F9/$E9,"")</f>
      </c>
      <c r="H9" s="57">
        <f>ROUND($E9*'③ 고정비 설정'!$C$20,0)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설정'!$C$21,"✅ 양호",IF($G9&lt;='③ 고정비 설정'!$C$22,"🟡 주의","🔴 과다"))))</f>
      </c>
      <c r="N9" s="62">
        <f>IF($D9&gt;0,$G9+ROW()/1000000,"")</f>
      </c>
    </row>
    <row r="10" spans="1:14" x14ac:dyDescent="0.25">
      <c r="A10" s="65" t="s">
        <v>97</v>
      </c>
      <c r="B10" s="65"/>
      <c r="C10" s="65"/>
      <c r="D10" s="66">
        <f>SUM(D6:D9)</f>
      </c>
      <c r="E10" s="66">
        <f>SUM(E6:E9)</f>
      </c>
      <c r="F10" s="66">
        <f>SUM(F6:F9)</f>
      </c>
      <c r="G10" s="67">
        <f>IF(E10&gt;0,F10/E10,"")</f>
      </c>
      <c r="H10" s="66">
        <f>SUM(H6:H9)</f>
      </c>
      <c r="I10" s="66">
        <f>SUM(I6:I9)</f>
      </c>
      <c r="J10" s="67">
        <f>IF(E10&gt;0,I10/E10,"")</f>
      </c>
      <c r="K10" s="66">
        <f>IF(E10&gt;0,E10-I10,"")</f>
      </c>
      <c r="L10" s="67">
        <f>IF(E10&gt;0,K10/E10,"")</f>
      </c>
      <c r="M10" s="68">
        <f>"✅"&amp;COUNTIF(M6:M9,"*양호*")&amp;"  🟡"&amp;COUNTIF(M6:M9,"*주의*")&amp;"  🔴"&amp;COUNTIF(M6:M9,"*과다*")</f>
      </c>
      <c r="N10" s="69"/>
    </row>
  </sheetData>
  <autoFilter ref="A5:M9"/>
  <mergeCells count="4">
    <mergeCell ref="A1:N1"/>
    <mergeCell ref="A2:N2"/>
    <mergeCell ref="A3:N3"/>
    <mergeCell ref="A10:C10"/>
  </mergeCells>
  <conditionalFormatting sqref="G6:G9">
    <cfRule type="cellIs" dxfId="0" priority="1" operator="greaterThan">
      <formula>'③ 고정비 설정'!$C$22</formula>
    </cfRule>
    <cfRule type="cellIs" dxfId="1" priority="2" operator="greaterThan">
      <formula>'③ 고정비 설정'!$C$21</formula>
    </cfRule>
    <cfRule type="cellIs" dxfId="2" priority="3" operator="greaterThan">
      <formula>0</formula>
    </cfRule>
  </conditionalFormatting>
  <conditionalFormatting sqref="L6:L9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3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100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81</v>
      </c>
      <c r="C5" s="30" t="s">
        <v>101</v>
      </c>
      <c r="D5" s="30" t="s">
        <v>102</v>
      </c>
      <c r="E5" s="30" t="s">
        <v>103</v>
      </c>
      <c r="F5" s="30" t="s">
        <v>104</v>
      </c>
      <c r="G5" s="30" t="s">
        <v>105</v>
      </c>
      <c r="H5" s="30" t="s">
        <v>106</v>
      </c>
      <c r="I5" s="30" t="s">
        <v>107</v>
      </c>
      <c r="J5" s="30" t="s">
        <v>108</v>
      </c>
      <c r="K5" s="30" t="s">
        <v>109</v>
      </c>
      <c r="L5" s="30" t="s">
        <v>110</v>
      </c>
    </row>
    <row r="6" spans="1:12" x14ac:dyDescent="0.25">
      <c r="A6" s="70" t="s">
        <v>75</v>
      </c>
      <c r="B6" s="31" t="s">
        <v>93</v>
      </c>
      <c r="C6" s="53">
        <v>1</v>
      </c>
      <c r="D6" s="71" t="s">
        <v>111</v>
      </c>
      <c r="E6" s="44" t="s">
        <v>112</v>
      </c>
      <c r="F6" s="70" t="s">
        <v>66</v>
      </c>
      <c r="G6" s="72">
        <v>200</v>
      </c>
      <c r="H6" s="53" t="s">
        <v>113</v>
      </c>
      <c r="I6" s="73">
        <v>1</v>
      </c>
      <c r="J6" s="74">
        <f>IF($D6="무료",0,IF($D6="메뉴",0,IF($D6="프렙",IFERROR(VLOOKUP($E6,'② 프렙 원가'!$B$6:$F$6,5,FALSE),0),IFERROR(VLOOKUP($E6,'① 식재료 단가'!$B$6:$G$19,6,FALSE),0))))</f>
      </c>
      <c r="K6" s="75">
        <f>IF($D6="메뉴",ROUND($G6*$J6,1),IF($I6&gt;0,ROUND($G6/$I6*$J6,1),0))</f>
      </c>
      <c r="L6" s="54" t="s">
        <v>114</v>
      </c>
    </row>
    <row r="7" spans="1:12" x14ac:dyDescent="0.25">
      <c r="A7" s="70" t="s">
        <v>75</v>
      </c>
      <c r="B7" s="31" t="s">
        <v>93</v>
      </c>
      <c r="C7" s="53">
        <v>2</v>
      </c>
      <c r="D7" s="71" t="s">
        <v>111</v>
      </c>
      <c r="E7" s="44" t="s">
        <v>115</v>
      </c>
      <c r="F7" s="70" t="s">
        <v>66</v>
      </c>
      <c r="G7" s="72">
        <v>100</v>
      </c>
      <c r="H7" s="53" t="s">
        <v>113</v>
      </c>
      <c r="I7" s="73">
        <v>0.9</v>
      </c>
      <c r="J7" s="74">
        <f>IF($D7="무료",0,IF($D7="메뉴",0,IF($D7="프렙",IFERROR(VLOOKUP($E7,'② 프렙 원가'!$B$6:$F$6,5,FALSE),0),IFERROR(VLOOKUP($E7,'① 식재료 단가'!$B$6:$G$19,6,FALSE),0))))</f>
      </c>
      <c r="K7" s="75">
        <f>IF($D7="메뉴",ROUND($G7*$J7,1),IF($I7&gt;0,ROUND($G7/$I7*$J7,1),0))</f>
      </c>
      <c r="L7" s="54" t="s">
        <v>116</v>
      </c>
    </row>
    <row r="8" spans="1:12" x14ac:dyDescent="0.25">
      <c r="A8" s="70" t="s">
        <v>75</v>
      </c>
      <c r="B8" s="31" t="s">
        <v>93</v>
      </c>
      <c r="C8" s="53">
        <v>3</v>
      </c>
      <c r="D8" s="71" t="s">
        <v>111</v>
      </c>
      <c r="E8" s="44" t="s">
        <v>117</v>
      </c>
      <c r="F8" s="70" t="s">
        <v>66</v>
      </c>
      <c r="G8" s="72">
        <v>30</v>
      </c>
      <c r="H8" s="53" t="s">
        <v>113</v>
      </c>
      <c r="I8" s="73">
        <v>1</v>
      </c>
      <c r="J8" s="74">
        <f>IF($D8="무료",0,IF($D8="메뉴",0,IF($D8="프렙",IFERROR(VLOOKUP($E8,'② 프렙 원가'!$B$6:$F$6,5,FALSE),0),IFERROR(VLOOKUP($E8,'① 식재료 단가'!$B$6:$G$19,6,FALSE),0))))</f>
      </c>
      <c r="K8" s="75">
        <f>IF($D8="메뉴",ROUND($G8*$J8,1),IF($I8&gt;0,ROUND($G8/$I8*$J8,1),0))</f>
      </c>
      <c r="L8" s="54" t="s">
        <v>118</v>
      </c>
    </row>
    <row r="9" spans="1:12" x14ac:dyDescent="0.25">
      <c r="A9" s="70" t="s">
        <v>75</v>
      </c>
      <c r="B9" s="31" t="s">
        <v>93</v>
      </c>
      <c r="C9" s="53">
        <v>4</v>
      </c>
      <c r="D9" s="71" t="s">
        <v>111</v>
      </c>
      <c r="E9" s="44" t="s">
        <v>119</v>
      </c>
      <c r="F9" s="70" t="s">
        <v>66</v>
      </c>
      <c r="G9" s="72">
        <v>20</v>
      </c>
      <c r="H9" s="53" t="s">
        <v>113</v>
      </c>
      <c r="I9" s="73">
        <v>1</v>
      </c>
      <c r="J9" s="74">
        <f>IF($D9="무료",0,IF($D9="메뉴",0,IF($D9="프렙",IFERROR(VLOOKUP($E9,'② 프렙 원가'!$B$6:$F$6,5,FALSE),0),IFERROR(VLOOKUP($E9,'① 식재료 단가'!$B$6:$G$19,6,FALSE),0))))</f>
      </c>
      <c r="K9" s="75">
        <f>IF($D9="메뉴",ROUND($G9*$J9,1),IF($I9&gt;0,ROUND($G9/$I9*$J9,1),0))</f>
      </c>
      <c r="L9" s="54" t="s">
        <v>118</v>
      </c>
    </row>
    <row r="10" spans="1:12" x14ac:dyDescent="0.25">
      <c r="A10" s="70" t="s">
        <v>75</v>
      </c>
      <c r="B10" s="31" t="s">
        <v>93</v>
      </c>
      <c r="C10" s="53">
        <v>5</v>
      </c>
      <c r="D10" s="71" t="s">
        <v>111</v>
      </c>
      <c r="E10" s="44" t="s">
        <v>120</v>
      </c>
      <c r="F10" s="70" t="s">
        <v>66</v>
      </c>
      <c r="G10" s="72">
        <v>15</v>
      </c>
      <c r="H10" s="53" t="s">
        <v>113</v>
      </c>
      <c r="I10" s="73">
        <v>1</v>
      </c>
      <c r="J10" s="74">
        <f>IF($D10="무료",0,IF($D10="메뉴",0,IF($D10="프렙",IFERROR(VLOOKUP($E10,'② 프렙 원가'!$B$6:$F$6,5,FALSE),0),IFERROR(VLOOKUP($E10,'① 식재료 단가'!$B$6:$G$19,6,FALSE),0))))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93</v>
      </c>
      <c r="C11" s="53">
        <v>6</v>
      </c>
      <c r="D11" s="71" t="s">
        <v>111</v>
      </c>
      <c r="E11" s="44" t="s">
        <v>121</v>
      </c>
      <c r="F11" s="70" t="s">
        <v>66</v>
      </c>
      <c r="G11" s="72">
        <v>3</v>
      </c>
      <c r="H11" s="53" t="s">
        <v>113</v>
      </c>
      <c r="I11" s="73">
        <v>1</v>
      </c>
      <c r="J11" s="74">
        <f>IF($D11="무료",0,IF($D11="메뉴",0,IF($D11="프렙",IFERROR(VLOOKUP($E11,'② 프렙 원가'!$B$6:$F$6,5,FALSE),0),IFERROR(VLOOKUP($E11,'① 식재료 단가'!$B$6:$G$19,6,FALSE),0))))</f>
      </c>
      <c r="K11" s="75">
        <f>IF($D11="메뉴",ROUND($G11*$J11,1),IF($I11&gt;0,ROUND($G11/$I11*$J11,1),0))</f>
      </c>
      <c r="L11" s="54" t="s">
        <v>66</v>
      </c>
    </row>
    <row r="12" spans="1:12" x14ac:dyDescent="0.25">
      <c r="A12" s="70" t="s">
        <v>75</v>
      </c>
      <c r="B12" s="31" t="s">
        <v>93</v>
      </c>
      <c r="C12" s="53">
        <v>7</v>
      </c>
      <c r="D12" s="71" t="s">
        <v>111</v>
      </c>
      <c r="E12" s="44" t="s">
        <v>122</v>
      </c>
      <c r="F12" s="70" t="s">
        <v>66</v>
      </c>
      <c r="G12" s="72">
        <v>1</v>
      </c>
      <c r="H12" s="53" t="s">
        <v>113</v>
      </c>
      <c r="I12" s="73">
        <v>1</v>
      </c>
      <c r="J12" s="74">
        <f>IF($D12="무료",0,IF($D12="메뉴",0,IF($D12="프렙",IFERROR(VLOOKUP($E12,'② 프렙 원가'!$B$6:$F$6,5,FALSE),0),IFERROR(VLOOKUP($E12,'① 식재료 단가'!$B$6:$G$19,6,FALSE),0))))</f>
      </c>
      <c r="K12" s="75">
        <f>IF($D12="메뉴",ROUND($G12*$J12,1),IF($I12&gt;0,ROUND($G12/$I12*$J12,1),0))</f>
      </c>
      <c r="L12" s="54" t="s">
        <v>66</v>
      </c>
    </row>
    <row r="13" spans="1:12" x14ac:dyDescent="0.25">
      <c r="A13" s="70" t="s">
        <v>75</v>
      </c>
      <c r="B13" s="31" t="s">
        <v>93</v>
      </c>
      <c r="C13" s="53">
        <v>8</v>
      </c>
      <c r="D13" s="71" t="s">
        <v>111</v>
      </c>
      <c r="E13" s="44" t="s">
        <v>123</v>
      </c>
      <c r="F13" s="70" t="s">
        <v>66</v>
      </c>
      <c r="G13" s="72">
        <v>10</v>
      </c>
      <c r="H13" s="53" t="s">
        <v>113</v>
      </c>
      <c r="I13" s="73">
        <v>1</v>
      </c>
      <c r="J13" s="74">
        <f>IF($D13="무료",0,IF($D13="메뉴",0,IF($D13="프렙",IFERROR(VLOOKUP($E13,'② 프렙 원가'!$B$6:$F$6,5,FALSE),0),IFERROR(VLOOKUP($E13,'① 식재료 단가'!$B$6:$G$19,6,FALSE),0))))</f>
      </c>
      <c r="K13" s="75">
        <f>IF($D13="메뉴",ROUND($G13*$J13,1),IF($I13&gt;0,ROUND($G13/$I13*$J13,1),0))</f>
      </c>
      <c r="L13" s="54" t="s">
        <v>124</v>
      </c>
    </row>
    <row r="14" spans="1:12" x14ac:dyDescent="0.25">
      <c r="A14" s="70" t="s">
        <v>75</v>
      </c>
      <c r="B14" s="31" t="s">
        <v>93</v>
      </c>
      <c r="C14" s="53">
        <v>9</v>
      </c>
      <c r="D14" s="76" t="s">
        <v>125</v>
      </c>
      <c r="E14" s="44" t="s">
        <v>126</v>
      </c>
      <c r="F14" s="70" t="s">
        <v>66</v>
      </c>
      <c r="G14" s="72">
        <v>40</v>
      </c>
      <c r="H14" s="53" t="s">
        <v>113</v>
      </c>
      <c r="I14" s="73">
        <v>1</v>
      </c>
      <c r="J14" s="74">
        <f>IF($D14="무료",0,IF($D14="메뉴",0,IF($D14="프렙",IFERROR(VLOOKUP($E14,'② 프렙 원가'!$B$6:$F$6,5,FALSE),0),IFERROR(VLOOKUP($E14,'① 식재료 단가'!$B$6:$G$19,6,FALSE),0))))</f>
      </c>
      <c r="K14" s="75">
        <f>IF($D14="메뉴",ROUND($G14*$J14,1),IF($I14&gt;0,ROUND($G14/$I14*$J14,1),0))</f>
      </c>
      <c r="L14" s="54" t="s">
        <v>127</v>
      </c>
    </row>
    <row r="15" spans="1:12" x14ac:dyDescent="0.25">
      <c r="A15" s="77" t="s">
        <v>76</v>
      </c>
      <c r="B15" s="36" t="s">
        <v>94</v>
      </c>
      <c r="C15" s="63">
        <v>1</v>
      </c>
      <c r="D15" s="78" t="s">
        <v>111</v>
      </c>
      <c r="E15" s="49" t="s">
        <v>128</v>
      </c>
      <c r="F15" s="77" t="s">
        <v>66</v>
      </c>
      <c r="G15" s="72">
        <v>150</v>
      </c>
      <c r="H15" s="63" t="s">
        <v>113</v>
      </c>
      <c r="I15" s="73">
        <v>0.85</v>
      </c>
      <c r="J15" s="74">
        <f>IF($D15="무료",0,IF($D15="메뉴",0,IF($D15="프렙",IFERROR(VLOOKUP($E15,'② 프렙 원가'!$B$6:$F$6,5,FALSE),0),IFERROR(VLOOKUP($E15,'① 식재료 단가'!$B$6:$G$19,6,FALSE),0))))</f>
      </c>
      <c r="K15" s="75">
        <f>IF($D15="메뉴",ROUND($G15*$J15,1),IF($I15&gt;0,ROUND($G15/$I15*$J15,1),0))</f>
      </c>
      <c r="L15" s="64" t="s">
        <v>129</v>
      </c>
    </row>
    <row r="16" spans="1:12" x14ac:dyDescent="0.25">
      <c r="A16" s="77" t="s">
        <v>76</v>
      </c>
      <c r="B16" s="36" t="s">
        <v>94</v>
      </c>
      <c r="C16" s="63">
        <v>2</v>
      </c>
      <c r="D16" s="78" t="s">
        <v>111</v>
      </c>
      <c r="E16" s="49" t="s">
        <v>117</v>
      </c>
      <c r="F16" s="77" t="s">
        <v>66</v>
      </c>
      <c r="G16" s="72">
        <v>30</v>
      </c>
      <c r="H16" s="63" t="s">
        <v>113</v>
      </c>
      <c r="I16" s="73">
        <v>1</v>
      </c>
      <c r="J16" s="74">
        <f>IF($D16="무료",0,IF($D16="메뉴",0,IF($D16="프렙",IFERROR(VLOOKUP($E16,'② 프렙 원가'!$B$6:$F$6,5,FALSE),0),IFERROR(VLOOKUP($E16,'① 식재료 단가'!$B$6:$G$19,6,FALSE),0))))</f>
      </c>
      <c r="K16" s="75">
        <f>IF($D16="메뉴",ROUND($G16*$J16,1),IF($I16&gt;0,ROUND($G16/$I16*$J16,1),0))</f>
      </c>
      <c r="L16" s="64" t="s">
        <v>66</v>
      </c>
    </row>
    <row r="17" spans="1:12" x14ac:dyDescent="0.25">
      <c r="A17" s="77" t="s">
        <v>76</v>
      </c>
      <c r="B17" s="36" t="s">
        <v>94</v>
      </c>
      <c r="C17" s="63">
        <v>3</v>
      </c>
      <c r="D17" s="78" t="s">
        <v>111</v>
      </c>
      <c r="E17" s="49" t="s">
        <v>130</v>
      </c>
      <c r="F17" s="77" t="s">
        <v>66</v>
      </c>
      <c r="G17" s="72">
        <v>120</v>
      </c>
      <c r="H17" s="63" t="s">
        <v>113</v>
      </c>
      <c r="I17" s="73">
        <v>1</v>
      </c>
      <c r="J17" s="74">
        <f>IF($D17="무료",0,IF($D17="메뉴",0,IF($D17="프렙",IFERROR(VLOOKUP($E17,'② 프렙 원가'!$B$6:$F$6,5,FALSE),0),IFERROR(VLOOKUP($E17,'① 식재료 단가'!$B$6:$G$19,6,FALSE),0))))</f>
      </c>
      <c r="K17" s="75">
        <f>IF($D17="메뉴",ROUND($G17*$J17,1),IF($I17&gt;0,ROUND($G17/$I17*$J17,1),0))</f>
      </c>
      <c r="L17" s="64" t="s">
        <v>131</v>
      </c>
    </row>
    <row r="18" spans="1:12" x14ac:dyDescent="0.25">
      <c r="A18" s="77" t="s">
        <v>76</v>
      </c>
      <c r="B18" s="36" t="s">
        <v>94</v>
      </c>
      <c r="C18" s="63">
        <v>4</v>
      </c>
      <c r="D18" s="78" t="s">
        <v>111</v>
      </c>
      <c r="E18" s="49" t="s">
        <v>132</v>
      </c>
      <c r="F18" s="77" t="s">
        <v>66</v>
      </c>
      <c r="G18" s="72">
        <v>10</v>
      </c>
      <c r="H18" s="63" t="s">
        <v>113</v>
      </c>
      <c r="I18" s="73">
        <v>1</v>
      </c>
      <c r="J18" s="74">
        <f>IF($D18="무료",0,IF($D18="메뉴",0,IF($D18="프렙",IFERROR(VLOOKUP($E18,'② 프렙 원가'!$B$6:$F$6,5,FALSE),0),IFERROR(VLOOKUP($E18,'① 식재료 단가'!$B$6:$G$19,6,FALSE),0))))</f>
      </c>
      <c r="K18" s="75">
        <f>IF($D18="메뉴",ROUND($G18*$J18,1),IF($I18&gt;0,ROUND($G18/$I18*$J18,1),0))</f>
      </c>
      <c r="L18" s="64" t="s">
        <v>66</v>
      </c>
    </row>
    <row r="19" spans="1:12" x14ac:dyDescent="0.25">
      <c r="A19" s="77" t="s">
        <v>76</v>
      </c>
      <c r="B19" s="36" t="s">
        <v>94</v>
      </c>
      <c r="C19" s="63">
        <v>5</v>
      </c>
      <c r="D19" s="78" t="s">
        <v>111</v>
      </c>
      <c r="E19" s="49" t="s">
        <v>121</v>
      </c>
      <c r="F19" s="77" t="s">
        <v>66</v>
      </c>
      <c r="G19" s="72">
        <v>3</v>
      </c>
      <c r="H19" s="63" t="s">
        <v>113</v>
      </c>
      <c r="I19" s="73">
        <v>1</v>
      </c>
      <c r="J19" s="74">
        <f>IF($D19="무료",0,IF($D19="메뉴",0,IF($D19="프렙",IFERROR(VLOOKUP($E19,'② 프렙 원가'!$B$6:$F$6,5,FALSE),0),IFERROR(VLOOKUP($E19,'① 식재료 단가'!$B$6:$G$19,6,FALSE),0))))</f>
      </c>
      <c r="K19" s="75">
        <f>IF($D19="메뉴",ROUND($G19*$J19,1),IF($I19&gt;0,ROUND($G19/$I19*$J19,1),0))</f>
      </c>
      <c r="L19" s="64" t="s">
        <v>66</v>
      </c>
    </row>
    <row r="20" spans="1:12" x14ac:dyDescent="0.25">
      <c r="A20" s="77" t="s">
        <v>76</v>
      </c>
      <c r="B20" s="36" t="s">
        <v>94</v>
      </c>
      <c r="C20" s="63">
        <v>6</v>
      </c>
      <c r="D20" s="79" t="s">
        <v>133</v>
      </c>
      <c r="E20" s="49" t="s">
        <v>134</v>
      </c>
      <c r="F20" s="77" t="s">
        <v>66</v>
      </c>
      <c r="G20" s="72">
        <v>100</v>
      </c>
      <c r="H20" s="63" t="s">
        <v>113</v>
      </c>
      <c r="I20" s="73">
        <v>1</v>
      </c>
      <c r="J20" s="74">
        <f>IF($D20="무료",0,IF($D20="메뉴",0,IF($D20="프렙",IFERROR(VLOOKUP($E20,'② 프렙 원가'!$B$6:$F$6,5,FALSE),0),IFERROR(VLOOKUP($E20,'① 식재료 단가'!$B$6:$G$19,6,FALSE),0))))</f>
      </c>
      <c r="K20" s="75">
        <f>IF($D20="메뉴",ROUND($G20*$J20,1),IF($I20&gt;0,ROUND($G20/$I20*$J20,1),0))</f>
      </c>
      <c r="L20" s="64" t="s">
        <v>135</v>
      </c>
    </row>
    <row r="21" spans="1:12" x14ac:dyDescent="0.25">
      <c r="A21" s="70" t="s">
        <v>77</v>
      </c>
      <c r="B21" s="31" t="s">
        <v>95</v>
      </c>
      <c r="C21" s="53">
        <v>1</v>
      </c>
      <c r="D21" s="71" t="s">
        <v>111</v>
      </c>
      <c r="E21" s="44" t="s">
        <v>136</v>
      </c>
      <c r="F21" s="70" t="s">
        <v>66</v>
      </c>
      <c r="G21" s="72">
        <v>1</v>
      </c>
      <c r="H21" s="53" t="s">
        <v>137</v>
      </c>
      <c r="I21" s="73">
        <v>1</v>
      </c>
      <c r="J21" s="74">
        <f>IF($D21="무료",0,IF($D21="메뉴",0,IF($D21="프렙",IFERROR(VLOOKUP($E21,'② 프렙 원가'!$B$6:$F$6,5,FALSE),0),IFERROR(VLOOKUP($E21,'① 식재료 단가'!$B$6:$G$19,6,FALSE),0))))</f>
      </c>
      <c r="K21" s="75">
        <f>IF($D21="메뉴",ROUND($G21*$J21,1),IF($I21&gt;0,ROUND($G21/$I21*$J21,1),0))</f>
      </c>
      <c r="L21" s="54" t="s">
        <v>138</v>
      </c>
    </row>
    <row r="22" spans="1:12" x14ac:dyDescent="0.25">
      <c r="A22" s="77" t="s">
        <v>78</v>
      </c>
      <c r="B22" s="36" t="s">
        <v>96</v>
      </c>
      <c r="C22" s="63">
        <v>1</v>
      </c>
      <c r="D22" s="80" t="s">
        <v>139</v>
      </c>
      <c r="E22" s="49" t="s">
        <v>93</v>
      </c>
      <c r="F22" s="77" t="s">
        <v>66</v>
      </c>
      <c r="G22" s="72">
        <v>1</v>
      </c>
      <c r="H22" s="63" t="s">
        <v>137</v>
      </c>
      <c r="I22" s="73">
        <v>1</v>
      </c>
      <c r="J22" s="74">
        <f>IF($D22="무료",0,IF($D22="메뉴",IFERROR(VLOOKUP($E22,'④ 메뉴 원가표'!$C$6:$F$8,4,FALSE),0),IF($D22="프렙",IFERROR(VLOOKUP($E22,'② 프렙 원가'!$B$6:$F$6,5,FALSE),0),IFERROR(VLOOKUP($E22,'① 식재료 단가'!$B$6:$G$19,6,FALSE),0))))</f>
      </c>
      <c r="K22" s="75">
        <f>IF($D22="메뉴",ROUND($G22*$J22,1),IF($I22&gt;0,ROUND($G22/$I22*$J22,1),0))</f>
      </c>
      <c r="L22" s="64" t="s">
        <v>140</v>
      </c>
    </row>
    <row r="23" spans="1:12" x14ac:dyDescent="0.25">
      <c r="A23" s="77" t="s">
        <v>78</v>
      </c>
      <c r="B23" s="36" t="s">
        <v>96</v>
      </c>
      <c r="C23" s="63">
        <v>2</v>
      </c>
      <c r="D23" s="80" t="s">
        <v>139</v>
      </c>
      <c r="E23" s="49" t="s">
        <v>94</v>
      </c>
      <c r="F23" s="77" t="s">
        <v>66</v>
      </c>
      <c r="G23" s="72">
        <v>1</v>
      </c>
      <c r="H23" s="63" t="s">
        <v>137</v>
      </c>
      <c r="I23" s="73">
        <v>1</v>
      </c>
      <c r="J23" s="74">
        <f>IF($D23="무료",0,IF($D23="메뉴",IFERROR(VLOOKUP($E23,'④ 메뉴 원가표'!$C$6:$F$8,4,FALSE),0),IF($D23="프렙",IFERROR(VLOOKUP($E23,'② 프렙 원가'!$B$6:$F$6,5,FALSE),0),IFERROR(VLOOKUP($E23,'① 식재료 단가'!$B$6:$G$19,6,FALSE),0))))</f>
      </c>
      <c r="K23" s="75">
        <f>IF($D23="메뉴",ROUND($G23*$J23,1),IF($I23&gt;0,ROUND($G23/$I23*$J23,1),0))</f>
      </c>
      <c r="L23" s="64" t="s">
        <v>140</v>
      </c>
    </row>
  </sheetData>
  <autoFilter ref="A5:L23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23">
      <formula1>"식재료,프렙,메뉴,무료"</formula1>
    </dataValidation>
    <dataValidation type="list" showErrorMessage="1" errorTitle="입력 오류" error="식재료 / 프렙 / 메뉴 / 무료 중에서 선택하세요." sqref="D6:D23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141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142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86</v>
      </c>
      <c r="B5" s="30" t="s">
        <v>143</v>
      </c>
      <c r="C5" s="30" t="s">
        <v>144</v>
      </c>
      <c r="D5" s="30" t="s">
        <v>145</v>
      </c>
      <c r="E5" s="30" t="s">
        <v>106</v>
      </c>
      <c r="F5" s="30" t="s">
        <v>146</v>
      </c>
      <c r="G5" s="30" t="s">
        <v>147</v>
      </c>
      <c r="H5" s="30" t="s">
        <v>110</v>
      </c>
    </row>
    <row r="6" spans="1:8" x14ac:dyDescent="0.25">
      <c r="A6" s="53">
        <v>1</v>
      </c>
      <c r="B6" s="44" t="s">
        <v>115</v>
      </c>
      <c r="C6" s="55">
        <v>12000</v>
      </c>
      <c r="D6" s="81">
        <v>1</v>
      </c>
      <c r="E6" s="53" t="s">
        <v>148</v>
      </c>
      <c r="F6" s="55">
        <v>1000</v>
      </c>
      <c r="G6" s="82">
        <f>IF(F6&gt;0,C6/F6,0)</f>
      </c>
      <c r="H6" s="83" t="s">
        <v>66</v>
      </c>
    </row>
    <row r="7" spans="1:8" x14ac:dyDescent="0.25">
      <c r="A7" s="63">
        <v>2</v>
      </c>
      <c r="B7" s="49" t="s">
        <v>112</v>
      </c>
      <c r="C7" s="55">
        <v>62000</v>
      </c>
      <c r="D7" s="81">
        <v>20</v>
      </c>
      <c r="E7" s="63" t="s">
        <v>148</v>
      </c>
      <c r="F7" s="55">
        <v>20000</v>
      </c>
      <c r="G7" s="82">
        <f>IF(F7&gt;0,C7/F7,0)</f>
      </c>
      <c r="H7" s="84" t="s">
        <v>66</v>
      </c>
    </row>
    <row r="8" spans="1:8" x14ac:dyDescent="0.25">
      <c r="A8" s="53">
        <v>3</v>
      </c>
      <c r="B8" s="44" t="s">
        <v>117</v>
      </c>
      <c r="C8" s="55">
        <v>14000</v>
      </c>
      <c r="D8" s="81">
        <v>15</v>
      </c>
      <c r="E8" s="53" t="s">
        <v>148</v>
      </c>
      <c r="F8" s="55">
        <v>15000</v>
      </c>
      <c r="G8" s="82">
        <f>IF(F8&gt;0,C8/F8,0)</f>
      </c>
      <c r="H8" s="83" t="s">
        <v>66</v>
      </c>
    </row>
    <row r="9" spans="1:8" x14ac:dyDescent="0.25">
      <c r="A9" s="63">
        <v>4</v>
      </c>
      <c r="B9" s="49" t="s">
        <v>119</v>
      </c>
      <c r="C9" s="55">
        <v>16500</v>
      </c>
      <c r="D9" s="81">
        <v>3</v>
      </c>
      <c r="E9" s="63" t="s">
        <v>148</v>
      </c>
      <c r="F9" s="55">
        <v>3000</v>
      </c>
      <c r="G9" s="82">
        <f>IF(F9&gt;0,C9/F9,0)</f>
      </c>
      <c r="H9" s="84" t="s">
        <v>66</v>
      </c>
    </row>
    <row r="10" spans="1:8" x14ac:dyDescent="0.25">
      <c r="A10" s="53">
        <v>5</v>
      </c>
      <c r="B10" s="44" t="s">
        <v>128</v>
      </c>
      <c r="C10" s="55">
        <v>35000</v>
      </c>
      <c r="D10" s="81">
        <v>20</v>
      </c>
      <c r="E10" s="53" t="s">
        <v>148</v>
      </c>
      <c r="F10" s="55">
        <v>20000</v>
      </c>
      <c r="G10" s="82">
        <f>IF(F10&gt;0,C10/F10,0)</f>
      </c>
      <c r="H10" s="83" t="s">
        <v>66</v>
      </c>
    </row>
    <row r="11" spans="1:8" x14ac:dyDescent="0.25">
      <c r="A11" s="63">
        <v>6</v>
      </c>
      <c r="B11" s="49" t="s">
        <v>130</v>
      </c>
      <c r="C11" s="55">
        <v>1650</v>
      </c>
      <c r="D11" s="81">
        <v>1</v>
      </c>
      <c r="E11" s="63" t="s">
        <v>149</v>
      </c>
      <c r="F11" s="55">
        <v>1000</v>
      </c>
      <c r="G11" s="82">
        <f>IF(F11&gt;0,C11/F11,0)</f>
      </c>
      <c r="H11" s="84" t="s">
        <v>66</v>
      </c>
    </row>
    <row r="12" spans="1:8" x14ac:dyDescent="0.25">
      <c r="A12" s="53">
        <v>7</v>
      </c>
      <c r="B12" s="44" t="s">
        <v>132</v>
      </c>
      <c r="C12" s="55">
        <v>14500</v>
      </c>
      <c r="D12" s="81">
        <v>13.1</v>
      </c>
      <c r="E12" s="53" t="s">
        <v>148</v>
      </c>
      <c r="F12" s="55">
        <v>13100</v>
      </c>
      <c r="G12" s="82">
        <f>IF(F12&gt;0,C12/F12,0)</f>
      </c>
      <c r="H12" s="83" t="s">
        <v>66</v>
      </c>
    </row>
    <row r="13" spans="1:8" x14ac:dyDescent="0.25">
      <c r="A13" s="63">
        <v>8</v>
      </c>
      <c r="B13" s="49" t="s">
        <v>120</v>
      </c>
      <c r="C13" s="55">
        <v>49500</v>
      </c>
      <c r="D13" s="81">
        <v>18</v>
      </c>
      <c r="E13" s="63" t="s">
        <v>149</v>
      </c>
      <c r="F13" s="55">
        <v>18000</v>
      </c>
      <c r="G13" s="82">
        <f>IF(F13&gt;0,C13/F13,0)</f>
      </c>
      <c r="H13" s="84" t="s">
        <v>66</v>
      </c>
    </row>
    <row r="14" spans="1:8" x14ac:dyDescent="0.25">
      <c r="A14" s="53">
        <v>9</v>
      </c>
      <c r="B14" s="44" t="s">
        <v>150</v>
      </c>
      <c r="C14" s="55">
        <v>5500</v>
      </c>
      <c r="D14" s="81">
        <v>1.8</v>
      </c>
      <c r="E14" s="53" t="s">
        <v>149</v>
      </c>
      <c r="F14" s="55">
        <v>1800</v>
      </c>
      <c r="G14" s="82">
        <f>IF(F14&gt;0,C14/F14,0)</f>
      </c>
      <c r="H14" s="83" t="s">
        <v>66</v>
      </c>
    </row>
    <row r="15" spans="1:8" x14ac:dyDescent="0.25">
      <c r="A15" s="63">
        <v>10</v>
      </c>
      <c r="B15" s="49" t="s">
        <v>121</v>
      </c>
      <c r="C15" s="55">
        <v>15000</v>
      </c>
      <c r="D15" s="81">
        <v>15</v>
      </c>
      <c r="E15" s="63" t="s">
        <v>148</v>
      </c>
      <c r="F15" s="55">
        <v>15000</v>
      </c>
      <c r="G15" s="82">
        <f>IF(F15&gt;0,C15/F15,0)</f>
      </c>
      <c r="H15" s="84" t="s">
        <v>66</v>
      </c>
    </row>
    <row r="16" spans="1:8" x14ac:dyDescent="0.25">
      <c r="A16" s="53">
        <v>11</v>
      </c>
      <c r="B16" s="44" t="s">
        <v>122</v>
      </c>
      <c r="C16" s="55">
        <v>9000</v>
      </c>
      <c r="D16" s="81">
        <v>0.4</v>
      </c>
      <c r="E16" s="53" t="s">
        <v>148</v>
      </c>
      <c r="F16" s="55">
        <v>400</v>
      </c>
      <c r="G16" s="82">
        <f>IF(F16&gt;0,C16/F16,0)</f>
      </c>
      <c r="H16" s="83" t="s">
        <v>66</v>
      </c>
    </row>
    <row r="17" spans="1:8" x14ac:dyDescent="0.25">
      <c r="A17" s="63">
        <v>12</v>
      </c>
      <c r="B17" s="49" t="s">
        <v>123</v>
      </c>
      <c r="C17" s="55">
        <v>4980</v>
      </c>
      <c r="D17" s="81">
        <v>0.5</v>
      </c>
      <c r="E17" s="63" t="s">
        <v>148</v>
      </c>
      <c r="F17" s="55">
        <v>500</v>
      </c>
      <c r="G17" s="82">
        <f>IF(F17&gt;0,C17/F17,0)</f>
      </c>
      <c r="H17" s="84" t="s">
        <v>66</v>
      </c>
    </row>
    <row r="18" spans="1:8" x14ac:dyDescent="0.25">
      <c r="A18" s="53">
        <v>13</v>
      </c>
      <c r="B18" s="44" t="s">
        <v>136</v>
      </c>
      <c r="C18" s="55">
        <v>21000</v>
      </c>
      <c r="D18" s="81">
        <v>24</v>
      </c>
      <c r="E18" s="53" t="s">
        <v>137</v>
      </c>
      <c r="F18" s="55">
        <v>0</v>
      </c>
      <c r="G18" s="82">
        <f>IF(D18&gt;0,C18/D18,0)</f>
      </c>
      <c r="H18" s="83" t="s">
        <v>151</v>
      </c>
    </row>
    <row r="19" spans="1:8" x14ac:dyDescent="0.25">
      <c r="A19" s="63">
        <v>14</v>
      </c>
      <c r="B19" s="49" t="s">
        <v>152</v>
      </c>
      <c r="C19" s="55">
        <v>60000</v>
      </c>
      <c r="D19" s="81">
        <v>500</v>
      </c>
      <c r="E19" s="63" t="s">
        <v>137</v>
      </c>
      <c r="F19" s="55">
        <v>0</v>
      </c>
      <c r="G19" s="82">
        <f>IF(D19&gt;0,C19/D19,0)</f>
      </c>
      <c r="H19" s="84" t="s">
        <v>151</v>
      </c>
    </row>
  </sheetData>
  <autoFilter ref="A5:H19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4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153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154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155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86</v>
      </c>
      <c r="B5" s="30" t="s">
        <v>156</v>
      </c>
      <c r="C5" s="30" t="s">
        <v>157</v>
      </c>
      <c r="D5" s="30" t="s">
        <v>107</v>
      </c>
      <c r="E5" s="30" t="s">
        <v>158</v>
      </c>
      <c r="F5" s="30" t="s">
        <v>159</v>
      </c>
      <c r="G5" s="30" t="s">
        <v>160</v>
      </c>
      <c r="H5" s="30" t="s">
        <v>110</v>
      </c>
    </row>
    <row r="6" spans="1:8" x14ac:dyDescent="0.25">
      <c r="A6" s="53">
        <v>1</v>
      </c>
      <c r="B6" s="44" t="s">
        <v>126</v>
      </c>
      <c r="C6" s="55">
        <v>1200</v>
      </c>
      <c r="D6" s="73">
        <v>0.8</v>
      </c>
      <c r="E6" s="57">
        <f>SUMIF($A$11:$A$14,$B6,$F$11:$F$14)</f>
      </c>
      <c r="F6" s="82">
        <f>IF(C6&gt;0,E6/C6,0)</f>
      </c>
      <c r="G6" s="57">
        <f>SUMIF($A$11:$A$14,$B6,$D$11:$D$14)</f>
      </c>
      <c r="H6" s="44" t="s">
        <v>66</v>
      </c>
    </row>
    <row r="8" ht="24" customHeight="1" spans="1:8" x14ac:dyDescent="0.25">
      <c r="A8" s="3" t="s">
        <v>161</v>
      </c>
      <c r="B8" s="3"/>
      <c r="C8" s="3"/>
      <c r="D8" s="3"/>
      <c r="E8" s="3"/>
      <c r="F8" s="3"/>
      <c r="G8" s="3"/>
      <c r="H8" s="3"/>
    </row>
    <row r="10" ht="26" customHeight="1" spans="1:8" x14ac:dyDescent="0.25">
      <c r="A10" s="30" t="s">
        <v>156</v>
      </c>
      <c r="B10" s="30" t="s">
        <v>102</v>
      </c>
      <c r="C10" s="30" t="s">
        <v>162</v>
      </c>
      <c r="D10" s="30" t="s">
        <v>163</v>
      </c>
      <c r="E10" s="30" t="s">
        <v>108</v>
      </c>
      <c r="F10" s="30" t="s">
        <v>109</v>
      </c>
      <c r="G10" s="30" t="s">
        <v>66</v>
      </c>
      <c r="H10" s="30" t="s">
        <v>66</v>
      </c>
    </row>
    <row r="11" spans="1:6" x14ac:dyDescent="0.25">
      <c r="A11" s="44" t="s">
        <v>126</v>
      </c>
      <c r="B11" s="53" t="s">
        <v>111</v>
      </c>
      <c r="C11" s="44" t="s">
        <v>117</v>
      </c>
      <c r="D11" s="55">
        <v>1000</v>
      </c>
      <c r="E11" s="74">
        <f>IFERROR(VLOOKUP($C11,'① 식재료 단가'!$B$6:$G$19,6,FALSE),0)</f>
      </c>
      <c r="F11" s="57">
        <f>ROUND($D11*$E11,2)</f>
      </c>
    </row>
    <row r="12" spans="1:6" x14ac:dyDescent="0.25">
      <c r="A12" s="44" t="s">
        <v>126</v>
      </c>
      <c r="B12" s="53" t="s">
        <v>111</v>
      </c>
      <c r="C12" s="44" t="s">
        <v>150</v>
      </c>
      <c r="D12" s="55">
        <v>300</v>
      </c>
      <c r="E12" s="74">
        <f>IFERROR(VLOOKUP($C12,'① 식재료 단가'!$B$6:$G$19,6,FALSE),0)</f>
      </c>
      <c r="F12" s="57">
        <f>ROUND($D12*$E12,2)</f>
      </c>
    </row>
    <row r="13" spans="1:6" x14ac:dyDescent="0.25">
      <c r="A13" s="44" t="s">
        <v>126</v>
      </c>
      <c r="B13" s="53" t="s">
        <v>111</v>
      </c>
      <c r="C13" s="44" t="s">
        <v>120</v>
      </c>
      <c r="D13" s="55">
        <v>200</v>
      </c>
      <c r="E13" s="74">
        <f>IFERROR(VLOOKUP($C13,'① 식재료 단가'!$B$6:$G$19,6,FALSE),0)</f>
      </c>
      <c r="F13" s="57">
        <f>ROUND($D13*$E13,2)</f>
      </c>
    </row>
    <row r="14" spans="1:6" x14ac:dyDescent="0.25">
      <c r="A14" s="44" t="s">
        <v>126</v>
      </c>
      <c r="B14" s="53" t="s">
        <v>111</v>
      </c>
      <c r="C14" s="44" t="s">
        <v>121</v>
      </c>
      <c r="D14" s="55">
        <v>50</v>
      </c>
      <c r="E14" s="74">
        <f>IFERROR(VLOOKUP($C14,'① 식재료 단가'!$B$6:$G$19,6,FALSE),0)</f>
      </c>
      <c r="F14" s="57">
        <f>ROUND($D14*$E14,2)</f>
      </c>
    </row>
  </sheetData>
  <autoFilter ref="A10:F14"/>
  <mergeCells count="4">
    <mergeCell ref="A1:H1"/>
    <mergeCell ref="A2:H2"/>
    <mergeCell ref="A3:H3"/>
    <mergeCell ref="A8:H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2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164</v>
      </c>
      <c r="B2" s="2"/>
      <c r="C2" s="2"/>
      <c r="D2" s="2"/>
      <c r="E2" s="2"/>
    </row>
    <row r="3" ht="22" customHeight="1" spans="1:5" x14ac:dyDescent="0.25">
      <c r="A3" s="52" t="s">
        <v>165</v>
      </c>
      <c r="B3" s="52"/>
      <c r="C3" s="52"/>
      <c r="D3" s="52"/>
      <c r="E3" s="52"/>
    </row>
    <row r="5" ht="26" customHeight="1" spans="1:5" x14ac:dyDescent="0.25">
      <c r="A5" s="30" t="s">
        <v>86</v>
      </c>
      <c r="B5" s="30" t="s">
        <v>166</v>
      </c>
      <c r="C5" s="30" t="s">
        <v>167</v>
      </c>
      <c r="D5" s="30" t="s">
        <v>168</v>
      </c>
      <c r="E5" s="30" t="s">
        <v>169</v>
      </c>
    </row>
    <row r="6" spans="1:5" x14ac:dyDescent="0.25">
      <c r="A6" s="53">
        <v>1</v>
      </c>
      <c r="B6" s="44" t="s">
        <v>170</v>
      </c>
      <c r="C6" s="55">
        <v>8000000</v>
      </c>
      <c r="D6" s="85" t="s">
        <v>171</v>
      </c>
      <c r="E6" s="54" t="s">
        <v>172</v>
      </c>
    </row>
    <row r="7" spans="1:5" x14ac:dyDescent="0.25">
      <c r="A7" s="63">
        <v>2</v>
      </c>
      <c r="B7" s="49" t="s">
        <v>173</v>
      </c>
      <c r="C7" s="55">
        <v>3000000</v>
      </c>
      <c r="D7" s="85" t="s">
        <v>171</v>
      </c>
      <c r="E7" s="64" t="s">
        <v>174</v>
      </c>
    </row>
    <row r="8" spans="1:5" x14ac:dyDescent="0.25">
      <c r="A8" s="53">
        <v>3</v>
      </c>
      <c r="B8" s="44" t="s">
        <v>175</v>
      </c>
      <c r="C8" s="55">
        <v>800000</v>
      </c>
      <c r="D8" s="85" t="s">
        <v>171</v>
      </c>
      <c r="E8" s="54" t="s">
        <v>176</v>
      </c>
    </row>
    <row r="9" spans="1:5" x14ac:dyDescent="0.25">
      <c r="A9" s="63">
        <v>4</v>
      </c>
      <c r="B9" s="49" t="s">
        <v>177</v>
      </c>
      <c r="C9" s="55">
        <v>1500000</v>
      </c>
      <c r="D9" s="85" t="s">
        <v>171</v>
      </c>
      <c r="E9" s="64" t="s">
        <v>178</v>
      </c>
    </row>
    <row r="10" spans="1:5" x14ac:dyDescent="0.25">
      <c r="A10" s="53">
        <v>5</v>
      </c>
      <c r="B10" s="44" t="s">
        <v>179</v>
      </c>
      <c r="C10" s="55">
        <v>6000000</v>
      </c>
      <c r="D10" s="85" t="s">
        <v>180</v>
      </c>
      <c r="E10" s="83" t="s">
        <v>181</v>
      </c>
    </row>
    <row r="11" spans="1:5" x14ac:dyDescent="0.25">
      <c r="A11" s="86" t="s">
        <v>182</v>
      </c>
      <c r="B11" s="86"/>
      <c r="C11" s="87">
        <f>SUM(C6:C10)</f>
      </c>
      <c r="D11" s="88"/>
      <c r="E11" s="89" t="s">
        <v>183</v>
      </c>
    </row>
    <row r="12" spans="1:5" x14ac:dyDescent="0.25">
      <c r="A12" s="86" t="s">
        <v>184</v>
      </c>
      <c r="B12" s="86"/>
      <c r="C12" s="87">
        <f>SUMIF(D6:D10,"포함",C6:C10)</f>
      </c>
      <c r="D12" s="88"/>
      <c r="E12" s="89" t="s">
        <v>185</v>
      </c>
    </row>
    <row r="14" ht="24" customHeight="1" spans="1:5" x14ac:dyDescent="0.25">
      <c r="A14" s="3" t="s">
        <v>186</v>
      </c>
      <c r="B14" s="3"/>
      <c r="C14" s="3"/>
      <c r="D14" s="3"/>
      <c r="E14" s="3"/>
    </row>
    <row r="15" spans="1:5" x14ac:dyDescent="0.25">
      <c r="A15" s="90" t="s">
        <v>187</v>
      </c>
      <c r="B15" s="90"/>
      <c r="C15" s="85" t="s">
        <v>171</v>
      </c>
      <c r="D15" s="44"/>
      <c r="E15" s="54" t="s">
        <v>188</v>
      </c>
    </row>
    <row r="16" spans="1:5" x14ac:dyDescent="0.25">
      <c r="A16" s="90" t="s">
        <v>189</v>
      </c>
      <c r="B16" s="90"/>
      <c r="C16" s="73">
        <v>0.1</v>
      </c>
      <c r="D16" s="44"/>
      <c r="E16" s="54" t="s">
        <v>190</v>
      </c>
    </row>
    <row r="17" spans="1:5" x14ac:dyDescent="0.25">
      <c r="A17" s="90" t="s">
        <v>191</v>
      </c>
      <c r="B17" s="90"/>
      <c r="C17" s="91">
        <f>IF(C15="포함",1+C16,1)</f>
      </c>
      <c r="D17" s="44"/>
      <c r="E17" s="54" t="s">
        <v>192</v>
      </c>
    </row>
    <row r="18" spans="1:5" x14ac:dyDescent="0.25">
      <c r="A18" s="90" t="s">
        <v>193</v>
      </c>
      <c r="B18" s="90"/>
      <c r="C18" s="55">
        <v>30000000</v>
      </c>
      <c r="D18" s="44"/>
      <c r="E18" s="54" t="s">
        <v>194</v>
      </c>
    </row>
    <row r="19" spans="1:5" x14ac:dyDescent="0.25">
      <c r="A19" s="90" t="s">
        <v>195</v>
      </c>
      <c r="B19" s="90"/>
      <c r="C19" s="57">
        <f>ROUND(C18/C17,0)</f>
      </c>
      <c r="D19" s="44"/>
      <c r="E19" s="54" t="s">
        <v>196</v>
      </c>
    </row>
    <row r="20" spans="1:5" x14ac:dyDescent="0.25">
      <c r="A20" s="90" t="s">
        <v>62</v>
      </c>
      <c r="B20" s="90"/>
      <c r="C20" s="59">
        <f>IF(C19&gt;0,C12/C19,0)</f>
      </c>
      <c r="D20" s="44"/>
      <c r="E20" s="54" t="s">
        <v>197</v>
      </c>
    </row>
    <row r="21" spans="1:5" x14ac:dyDescent="0.25">
      <c r="A21" s="90" t="s">
        <v>198</v>
      </c>
      <c r="B21" s="90"/>
      <c r="C21" s="73">
        <v>0.3</v>
      </c>
      <c r="D21" s="44"/>
      <c r="E21" s="54" t="s">
        <v>199</v>
      </c>
    </row>
    <row r="22" spans="1:5" x14ac:dyDescent="0.25">
      <c r="A22" s="90" t="s">
        <v>200</v>
      </c>
      <c r="B22" s="90"/>
      <c r="C22" s="73">
        <v>0.38</v>
      </c>
      <c r="D22" s="44"/>
      <c r="E22" s="54" t="s">
        <v>201</v>
      </c>
    </row>
  </sheetData>
  <mergeCells count="14">
    <mergeCell ref="A1:E1"/>
    <mergeCell ref="A2:E2"/>
    <mergeCell ref="A3:E3"/>
    <mergeCell ref="A11:B11"/>
    <mergeCell ref="A12:B12"/>
    <mergeCell ref="A14:E14"/>
    <mergeCell ref="A15:B15"/>
    <mergeCell ref="A16:B16"/>
    <mergeCell ref="A17:B17"/>
    <mergeCell ref="A18:B18"/>
    <mergeCell ref="A19:B19"/>
    <mergeCell ref="A20:B20"/>
    <mergeCell ref="A21:B21"/>
    <mergeCell ref="A22:B22"/>
  </mergeCells>
  <dataValidations count="3">
    <dataValidation type="list" showErrorMessage="1" errorTitle="입력 오류" error="포함 또는 별도 중에서 선택하세요." sqref="C15">
      <formula1>"포함,별도"</formula1>
    </dataValidation>
    <dataValidation type="list" showErrorMessage="1" errorTitle="입력 오류" error="포함 또는 제외 중에서 선택하세요." sqref="D10">
      <formula1>"포함,제외"</formula1>
    </dataValidation>
    <dataValidation type="list" showErrorMessage="1" errorTitle="입력 오류" error="포함 또는 제외 중에서 선택하세요." sqref="D6:D10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5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202</v>
      </c>
      <c r="B1" s="1"/>
      <c r="C1" s="1"/>
      <c r="D1" s="1"/>
      <c r="E1" s="1"/>
    </row>
    <row r="2" ht="22" customHeight="1" spans="1:5" x14ac:dyDescent="0.25">
      <c r="A2" s="2" t="s">
        <v>203</v>
      </c>
      <c r="B2" s="2"/>
      <c r="C2" s="2"/>
      <c r="D2" s="2"/>
      <c r="E2" s="2"/>
    </row>
    <row r="4" ht="26" customHeight="1" spans="1:5" x14ac:dyDescent="0.25">
      <c r="A4" s="30" t="s">
        <v>86</v>
      </c>
      <c r="B4" s="30" t="s">
        <v>102</v>
      </c>
      <c r="C4" s="30" t="s">
        <v>204</v>
      </c>
      <c r="D4" s="30" t="s">
        <v>205</v>
      </c>
      <c r="E4" s="30" t="s">
        <v>206</v>
      </c>
    </row>
    <row r="5" spans="1:5" x14ac:dyDescent="0.25">
      <c r="A5" s="53">
        <v>1</v>
      </c>
      <c r="B5" s="92" t="s">
        <v>207</v>
      </c>
      <c r="C5" s="44" t="s">
        <v>208</v>
      </c>
      <c r="D5" s="44" t="s">
        <v>209</v>
      </c>
      <c r="E5" s="54" t="s">
        <v>210</v>
      </c>
    </row>
    <row r="6" spans="1:5" x14ac:dyDescent="0.25">
      <c r="A6" s="63">
        <v>2</v>
      </c>
      <c r="B6" s="93" t="s">
        <v>207</v>
      </c>
      <c r="C6" s="49" t="s">
        <v>208</v>
      </c>
      <c r="D6" s="49" t="s">
        <v>211</v>
      </c>
      <c r="E6" s="64" t="s">
        <v>212</v>
      </c>
    </row>
    <row r="7" spans="1:5" x14ac:dyDescent="0.25">
      <c r="A7" s="53">
        <v>3</v>
      </c>
      <c r="B7" s="92" t="s">
        <v>207</v>
      </c>
      <c r="C7" s="44" t="s">
        <v>208</v>
      </c>
      <c r="D7" s="44" t="s">
        <v>213</v>
      </c>
      <c r="E7" s="54" t="s">
        <v>214</v>
      </c>
    </row>
    <row r="8" spans="1:5" x14ac:dyDescent="0.25">
      <c r="A8" s="63">
        <v>4</v>
      </c>
      <c r="B8" s="93" t="s">
        <v>207</v>
      </c>
      <c r="C8" s="49" t="s">
        <v>208</v>
      </c>
      <c r="D8" s="49" t="s">
        <v>215</v>
      </c>
      <c r="E8" s="64" t="s">
        <v>216</v>
      </c>
    </row>
    <row r="9" spans="1:5" x14ac:dyDescent="0.25">
      <c r="A9" s="53">
        <v>5</v>
      </c>
      <c r="B9" s="92" t="s">
        <v>207</v>
      </c>
      <c r="C9" s="44" t="s">
        <v>208</v>
      </c>
      <c r="D9" s="44" t="s">
        <v>217</v>
      </c>
      <c r="E9" s="54" t="s">
        <v>218</v>
      </c>
    </row>
    <row r="10" spans="1:5" x14ac:dyDescent="0.25">
      <c r="A10" s="63">
        <v>6</v>
      </c>
      <c r="B10" s="93" t="s">
        <v>207</v>
      </c>
      <c r="C10" s="49" t="s">
        <v>208</v>
      </c>
      <c r="D10" s="49" t="s">
        <v>219</v>
      </c>
      <c r="E10" s="64" t="s">
        <v>220</v>
      </c>
    </row>
    <row r="11" spans="1:5" x14ac:dyDescent="0.25">
      <c r="A11" s="53">
        <v>7</v>
      </c>
      <c r="B11" s="92" t="s">
        <v>207</v>
      </c>
      <c r="C11" s="44" t="s">
        <v>208</v>
      </c>
      <c r="D11" s="44" t="s">
        <v>221</v>
      </c>
      <c r="E11" s="54" t="s">
        <v>222</v>
      </c>
    </row>
    <row r="12" spans="1:5" x14ac:dyDescent="0.25">
      <c r="A12" s="63">
        <v>8</v>
      </c>
      <c r="B12" s="93" t="s">
        <v>223</v>
      </c>
      <c r="C12" s="49" t="s">
        <v>93</v>
      </c>
      <c r="D12" s="49" t="s">
        <v>224</v>
      </c>
      <c r="E12" s="64" t="s">
        <v>225</v>
      </c>
    </row>
    <row r="13" spans="1:5" x14ac:dyDescent="0.25">
      <c r="A13" s="53">
        <v>9</v>
      </c>
      <c r="B13" s="92" t="s">
        <v>223</v>
      </c>
      <c r="C13" s="44" t="s">
        <v>94</v>
      </c>
      <c r="D13" s="44" t="s">
        <v>226</v>
      </c>
      <c r="E13" s="54" t="s">
        <v>227</v>
      </c>
    </row>
    <row r="14" spans="1:5" x14ac:dyDescent="0.25">
      <c r="A14" s="63">
        <v>10</v>
      </c>
      <c r="B14" s="93" t="s">
        <v>223</v>
      </c>
      <c r="C14" s="49" t="s">
        <v>95</v>
      </c>
      <c r="D14" s="49" t="s">
        <v>228</v>
      </c>
      <c r="E14" s="64" t="s">
        <v>229</v>
      </c>
    </row>
    <row r="15" spans="1:5" x14ac:dyDescent="0.25">
      <c r="A15" s="53">
        <v>11</v>
      </c>
      <c r="B15" s="92" t="s">
        <v>223</v>
      </c>
      <c r="C15" s="44" t="s">
        <v>96</v>
      </c>
      <c r="D15" s="44" t="s">
        <v>230</v>
      </c>
      <c r="E15" s="54" t="s">
        <v>231</v>
      </c>
    </row>
  </sheetData>
  <autoFilter ref="A4:E15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2026-09-16T07:37:24Z</dcterms:created>
  <dcterms:modified xsi:type="dcterms:W3CDTF">2026-09-16T07:37:24Z</dcterms:modified>
</cp:coreProperties>
</file>
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6000" firstSheet="0" activeTab="0"/>
  </bookViews>
  <sheets>
    <sheet sheetId="1" name="📘 사용안내" state="visible" r:id="rId4"/>
    <sheet sheetId="2" name="⑥ 분석 대시보드" state="visible" r:id="rId5"/>
    <sheet sheetId="3" name="④ 메뉴 원가표" state="visible" r:id="rId6"/>
    <sheet sheetId="4" name="⑤ 레시피 상세" state="visible" r:id="rId7"/>
    <sheet sheetId="5" name="① 식재료 단가" state="visible" r:id="rId8"/>
    <sheet sheetId="6" name="② 프렙 원가" state="visible" r:id="rId9"/>
    <sheet sheetId="7" name="③ 고정비 설정" state="visible" r:id="rId10"/>
    <sheet sheetId="8" name="⚠ 확인 필요" state="visible" r:id="rId11"/>
  </sheets>
  <calcPr calcId="171027"/>
</workbook>
</file>

<file path=xl/sharedStrings.xml><?xml version="1.0" encoding="utf-8"?>
<sst xmlns="http://schemas.openxmlformats.org/spreadsheetml/2006/main" count="455" uniqueCount="232">
  <si>
    <t>📘 우리 매장 · 레시피 · 원가 관리</t>
  </si>
  <si>
    <t>예시 데이터가 들어 있습니다 — 지우고 우리 가게 것으로 채우세요 · v2.0</t>
  </si>
  <si>
    <t>▸  이 파일의 구조</t>
  </si>
  <si>
    <t>① 식재료 단가</t>
  </si>
  <si>
    <t>식재료 118종의 구매가격 → g당 단가. 여기만 고치면 모든 메뉴 원가가 따라 바뀝니다.</t>
  </si>
  <si>
    <t>② 프렙 원가</t>
  </si>
  <si>
    <t>커리 그레이비·탄두리 소스 등 반제품 11종의 g당 원가. 프렙 안에 프렙이 들어가도 자동 계산됩니다.</t>
  </si>
  <si>
    <t>③ 고정비 설정</t>
  </si>
  <si>
    <t>월 고정비·월 추정매출·판정 기준. 고정비 배분율이 여기서 결정됩니다.</t>
  </si>
  <si>
    <t>④ 메뉴 원가표</t>
  </si>
  <si>
    <t>메뉴 87종의 판매가·원가·원가율·마진 한눈에. 판매가만 입력하면 됩니다.</t>
  </si>
  <si>
    <t>⑤ 레시피 상세</t>
  </si>
  <si>
    <t>레시피북과 똑같은 재료·사용량. 한 줄 = 재료 1개의 단일 서식입니다.</t>
  </si>
  <si>
    <t>⑥ 분석 대시보드</t>
  </si>
  <si>
    <t>KPI·카테고리별 원가율·개선 우선순위 TOP10. 전부 수식이라 자동 갱신됩니다.</t>
  </si>
  <si>
    <t>⚠ 확인 필요</t>
  </si>
  <si>
    <t>값이 비었거나 추정한 항목 목록. 채워 넣을수록 정확해집니다.</t>
  </si>
  <si>
    <t>▸  색상 규칙</t>
  </si>
  <si>
    <t>노란 셀</t>
  </si>
  <si>
    <t>직접 입력하는 값 (구매가격, 사용량, 판매가, 고정비 …)</t>
  </si>
  <si>
    <t>회색 셀</t>
  </si>
  <si>
    <t>수식이 자동 계산하는 값 — 덮어쓰지 마세요</t>
  </si>
  <si>
    <t>✅ 양호</t>
  </si>
  <si>
    <t>식재료 원가율이 목표(기본 30%) 이하</t>
  </si>
  <si>
    <t>🟡 주의</t>
  </si>
  <si>
    <t>목표 초과 ~ 주의선(기본 38%) 이하</t>
  </si>
  <si>
    <t>🔴 과다</t>
  </si>
  <si>
    <t>주의선 초과 — 레시피·판매가 재검토 필요</t>
  </si>
  <si>
    <t>▸  계산 방식</t>
  </si>
  <si>
    <t>단가</t>
  </si>
  <si>
    <t>무게 품목: 구매가격 ÷ 총중량(g) → 원/g   ·   개수 품목: 구매가격 ÷ 규격수량 → 원/개</t>
  </si>
  <si>
    <t>재료비</t>
  </si>
  <si>
    <t>사용량 ÷ 수율 × g당 단가   (수율 100% 면 사용량 × 단가)</t>
  </si>
  <si>
    <t>프렙 g당 원가</t>
  </si>
  <si>
    <t>프렙 총 재료비 ÷ 완성중량(g)</t>
  </si>
  <si>
    <t>식재료 원가</t>
  </si>
  <si>
    <t>해당 메뉴의 재료비 전부 합계 (⑤ 시트 SUMIF)</t>
  </si>
  <si>
    <t>공급가액</t>
  </si>
  <si>
    <t>판매가 ÷ 부가세 계수 — 판매가가 부가세 포함이면 실제로 매장에 남는 금액</t>
  </si>
  <si>
    <t>고정비 배분</t>
  </si>
  <si>
    <t>공급가액 × (배분대상 고정비 ÷ 월 매출 공급가액)</t>
  </si>
  <si>
    <t>총원가 / 마진</t>
  </si>
  <si>
    <t>총원가 = 식재료 원가 + 고정비 배분,  마진 = 공급가액 − 총원가</t>
  </si>
  <si>
    <t>원가율·마진율</t>
  </si>
  <si>
    <t>모두 판매가가 아니라 공급가액을 기준으로 계산합니다 (부가세는 매출이 아니므로)</t>
  </si>
  <si>
    <t>▸  꼭 알아두실 점</t>
  </si>
  <si>
    <t>고정비 조정</t>
  </si>
  <si>
    <t>원본 고정비 목록의 「외상 매입금-식재료비(월 1,700만원)」는 메뉴별 식재료 원가에 이미 반영되어 있어 그대로 두면 이중 계산됩니다. 그래서 ③ 시트에서 「제외」로 두었습니다. 포함시키려면 「포함」으로 바꾸면 됩니다.</t>
  </si>
  <si>
    <t>오류 방지</t>
  </si>
  <si>
    <t>모든 나눗셈은 분모가 0이면 0을 돌려주고, 모든 조회는 IFERROR로 감쌌습니다. 재료명을 바꾸거나 지워도 #DIV/0!·#N/A 가 뜨지 않습니다.</t>
  </si>
  <si>
    <t>재료 추가</t>
  </si>
  <si>
    <t>⑤ 시트에서 줄을 복사해 메뉴명·재료명만 바꾸면 됩니다. 재료명은 ① 시트의 이름과 정확히 같아야 단가가 잡힙니다.</t>
  </si>
  <si>
    <t>웹·모바일</t>
  </si>
  <si>
    <t>같은 데이터로 만든 웹 버전에서는 PC·휴대폰 모두에서 단가를 수정하고 이 엑셀을 다시 내려받을 수 있습니다.</t>
  </si>
  <si>
    <t>▸  오픈소스 라이선스 고지</t>
  </si>
  <si>
    <t>ExcelJS (MIT)</t>
  </si>
  <si>
    <t>Copyright (c) 2014-2019 Guyon Roche · https://github.com/exceljs/exceljs — 이 파일을 만드는 데 사용되었습니다. MIT 라이선스 전문은 함께 제공되는 THIRD-PARTY-NOTICES 문서를 참고하세요.</t>
  </si>
  <si>
    <t>① ~ ⑤ 시트의 값이 바뀌면 이 시트도 함께 자동으로 갱신됩니다.</t>
  </si>
  <si>
    <t>전체 메뉴</t>
  </si>
  <si>
    <t>평균 식재료 원가율</t>
  </si>
  <si>
    <t>평균 총원가율</t>
  </si>
  <si>
    <t>평균 마진율</t>
  </si>
  <si>
    <t>고정비 배분율</t>
  </si>
  <si>
    <t>▸  원가율 판정 현황</t>
  </si>
  <si>
    <t>⬜ 판매가 미입력</t>
  </si>
  <si>
    <t>▸  카테고리별 원가 분석</t>
  </si>
  <si>
    <t/>
  </si>
  <si>
    <t>카테고리</t>
  </si>
  <si>
    <t>메뉴수</t>
  </si>
  <si>
    <t>판매가 합계</t>
  </si>
  <si>
    <t>식재료원가</t>
  </si>
  <si>
    <t>원가율</t>
  </si>
  <si>
    <t>고정비배분</t>
  </si>
  <si>
    <t>총원가</t>
  </si>
  <si>
    <t>마진율</t>
  </si>
  <si>
    <t>🍳 메인 요리</t>
  </si>
  <si>
    <t>🥗 사이드</t>
  </si>
  <si>
    <t>🥤 음료</t>
  </si>
  <si>
    <t>🍽 세트메뉴</t>
  </si>
  <si>
    <t>▸  식재료 원가율 상위 10  (개선 우선순위)</t>
  </si>
  <si>
    <t>순위</t>
  </si>
  <si>
    <t>메뉴명</t>
  </si>
  <si>
    <t>판매가</t>
  </si>
  <si>
    <t>원가율 하위 10 (효자 메뉴)</t>
  </si>
  <si>
    <t>메뉴 4개 전체. 판매가(노란 셀)만 고치면 원가율·마진이 즉시 다시 계산됩니다.</t>
  </si>
  <si>
    <t>💡  공급가액 = 판매가 ÷ 부가세 계수 (③ 시트).  원가율·마진은 모두 공급가액 기준입니다.  고정비 배분 = 공급가액 × 고정비 배분율.  총원가 = 식재료원가 + 고정비 배분.</t>
  </si>
  <si>
    <t>No.</t>
  </si>
  <si>
    <t>판매가(원)</t>
  </si>
  <si>
    <t xml:space="preserve">식재료
원가율</t>
  </si>
  <si>
    <t>총원가율</t>
  </si>
  <si>
    <t>마진(원)</t>
  </si>
  <si>
    <t>판정</t>
  </si>
  <si>
    <t>정렬키</t>
  </si>
  <si>
    <t>치킨 볶음밥</t>
  </si>
  <si>
    <t>감자 크림 수프</t>
  </si>
  <si>
    <t>콜라</t>
  </si>
  <si>
    <t>런치 세트</t>
  </si>
  <si>
    <t>합 계 / 가중평균</t>
  </si>
  <si>
    <t>⑤ 레시피 상세 원가</t>
  </si>
  <si>
    <t>레시피북과 동일한 재료·사용량. 한 줄 = 재료 1개. 사용량·수율만 고치면 메뉴 원가가 자동 갱신됩니다.</t>
  </si>
  <si>
    <t>💡  재료비 = 사용량 ÷ 수율 × g당 단가.   구분이 「메뉴」인 줄(세트메뉴 구성품)은 = 수량 × 해당 단품의 식재료 원가.   「무료」는 수돗물 등 원가 0.</t>
  </si>
  <si>
    <t>순번</t>
  </si>
  <si>
    <t>구분</t>
  </si>
  <si>
    <t>재료 / 구성</t>
  </si>
  <si>
    <t>레시피북 표기</t>
  </si>
  <si>
    <t>사용량</t>
  </si>
  <si>
    <t>단위</t>
  </si>
  <si>
    <t>수율</t>
  </si>
  <si>
    <t>g당 단가(원)</t>
  </si>
  <si>
    <t>재료비(원)</t>
  </si>
  <si>
    <t>비고</t>
  </si>
  <si>
    <t>식재료</t>
  </si>
  <si>
    <t>쌀</t>
  </si>
  <si>
    <t>g</t>
  </si>
  <si>
    <t>지은 밥 기준</t>
  </si>
  <si>
    <t>닭가슴살</t>
  </si>
  <si>
    <t>손질 손실 10% 반영</t>
  </si>
  <si>
    <t>양파</t>
  </si>
  <si>
    <t>잘게 썰기</t>
  </si>
  <si>
    <t>당근</t>
  </si>
  <si>
    <t>식용유</t>
  </si>
  <si>
    <t>소금</t>
  </si>
  <si>
    <t>후추</t>
  </si>
  <si>
    <t>대파</t>
  </si>
  <si>
    <t>고명</t>
  </si>
  <si>
    <t>프렙</t>
  </si>
  <si>
    <t>기본 볶음 소스</t>
  </si>
  <si>
    <t>미리 만들어 둔 소스</t>
  </si>
  <si>
    <t>감자</t>
  </si>
  <si>
    <t>껍질 손실 15% 반영</t>
  </si>
  <si>
    <t>우유</t>
  </si>
  <si>
    <t>120ml ≈ 120g</t>
  </si>
  <si>
    <t>버터</t>
  </si>
  <si>
    <t>무료</t>
  </si>
  <si>
    <t>물</t>
  </si>
  <si>
    <t>수돗물 — 원가 0원 처리</t>
  </si>
  <si>
    <t>콜라 (355ml 캔)</t>
  </si>
  <si>
    <t>개</t>
  </si>
  <si>
    <t>개수로 계산되는 예시입니다</t>
  </si>
  <si>
    <t>메뉴</t>
  </si>
  <si>
    <t>단품 원가를 그대로 가져옵니다</t>
  </si>
  <si>
    <t>노란 셀(구매가격·규격)만 수정하세요. 단가와 전체 메뉴 원가가 자동으로 다시 계산됩니다.</t>
  </si>
  <si>
    <t>💡  무게로 사는 것은 단가 = 구매가격 ÷ 총중량(g).  캔·포장용기처럼 개수로 사는 것은 단가 = 구매가격 ÷ 규격수량(원/개).</t>
  </si>
  <si>
    <t>식재료명</t>
  </si>
  <si>
    <t>구매가격(원)</t>
  </si>
  <si>
    <t>규격수량</t>
  </si>
  <si>
    <t>총중량(g)</t>
  </si>
  <si>
    <t>단가 (원/g·원/개)</t>
  </si>
  <si>
    <t>kg</t>
  </si>
  <si>
    <t>L</t>
  </si>
  <si>
    <t>간장</t>
  </si>
  <si>
    <t>개수 단위 (원/개)</t>
  </si>
  <si>
    <t>배달 용기 (중)</t>
  </si>
  <si>
    <t>② 프렙(반제품) 원가</t>
  </si>
  <si>
    <t>커리 그레이비·탄두리 소스처럼 미리 만들어 두는 반제품의 g당 원가입니다. 투입량과 완성중량만 고치면 됩니다.</t>
  </si>
  <si>
    <t>💡  g당 원가 = 총 재료비 ÷ 완성중량(g).  아래 [투입 재료 상세]의 투입량을 바꾸면 총 재료비가 자동 반영됩니다.</t>
  </si>
  <si>
    <t>프렙 제품명</t>
  </si>
  <si>
    <t>완성중량(g)</t>
  </si>
  <si>
    <t>총 재료비(원)</t>
  </si>
  <si>
    <t>g당 원가(원)</t>
  </si>
  <si>
    <t>투입중량(g)</t>
  </si>
  <si>
    <t>▸  투입 재료 상세  ─  투입량(노란 셀)만 수정하세요</t>
  </si>
  <si>
    <t>재료명</t>
  </si>
  <si>
    <t>투입량(g)</t>
  </si>
  <si>
    <t>월 고정비와 월 추정매출을 입력하면, 메뉴별 고정비 배분액이 판매가에 비례해 자동 계산됩니다.</t>
  </si>
  <si>
    <t>💡  메뉴 1개당 고정비 배분 = 판매가 × (배분대상 고정비 합계 ÷ 월 추정매출)</t>
  </si>
  <si>
    <t>비용 항목</t>
  </si>
  <si>
    <t>월간 금액(원)</t>
  </si>
  <si>
    <t>배분 포함</t>
  </si>
  <si>
    <t>내용 / 비고</t>
  </si>
  <si>
    <t>인건비</t>
  </si>
  <si>
    <t>포함</t>
  </si>
  <si>
    <t>급여 · 4대보험 사용자 부담분</t>
  </si>
  <si>
    <t>임대료</t>
  </si>
  <si>
    <t>월 임대료 · 관리비</t>
  </si>
  <si>
    <t>공과금</t>
  </si>
  <si>
    <t>수도 · 전기 · 가스</t>
  </si>
  <si>
    <t>배달·광고 수수료</t>
  </si>
  <si>
    <t>배달앱 수수료 · 마케팅비</t>
  </si>
  <si>
    <t>식재료 매입비</t>
  </si>
  <si>
    <t>제외</t>
  </si>
  <si>
    <t>메뉴별 식재료 원가에 이미 반영 → 고정비 배분에서 제외 (이중 계산 방지)</t>
  </si>
  <si>
    <t>고정비 총계</t>
  </si>
  <si>
    <t>입력한 모든 항목의 합계</t>
  </si>
  <si>
    <t>배분 대상 합계</t>
  </si>
  <si>
    <t>「배분 포함」인 항목만 합산 → 메뉴 원가에 반영</t>
  </si>
  <si>
    <t>▸  부가세 · 배분 · 판정 기준 설정</t>
  </si>
  <si>
    <t>부가세 처리</t>
  </si>
  <si>
    <t>판매가가 손님이 내는 금액이면 「포함」, 공급가액이면 「별도」</t>
  </si>
  <si>
    <t>부가세율</t>
  </si>
  <si>
    <t>「포함」일 때만 사용 (면세면 0%)</t>
  </si>
  <si>
    <t>부가세 계수</t>
  </si>
  <si>
    <t>판매가 ÷ 이 값 = 공급가액</t>
  </si>
  <si>
    <t>월 추정매출(원)</t>
  </si>
  <si>
    <t>배달 포함 월 총매출 (부가세 처리 기준과 동일하게 입력)</t>
  </si>
  <si>
    <t>월 매출 (공급가액)</t>
  </si>
  <si>
    <t>= 월 추정매출 ÷ 부가세 계수</t>
  </si>
  <si>
    <t>= 배분 대상 합계 ÷ 월 매출(공급가액)</t>
  </si>
  <si>
    <t>목표 식재료 원가율</t>
  </si>
  <si>
    <t>이하이면 ✅ 양호</t>
  </si>
  <si>
    <t>주의 식재료 원가율</t>
  </si>
  <si>
    <t>초과하면 🔴 과다</t>
  </si>
  <si>
    <t>⚠ 확인 필요 항목</t>
  </si>
  <si>
    <t>원본 자료에서 값이 비었거나 추정이 들어간 부분입니다. 실제 값으로 채우면 정확도가 올라갑니다.</t>
  </si>
  <si>
    <t>메뉴 / 대상</t>
  </si>
  <si>
    <t>항목</t>
  </si>
  <si>
    <t>설명 및 조치</t>
  </si>
  <si>
    <t>시작하기</t>
  </si>
  <si>
    <t>-</t>
  </si>
  <si>
    <t>① 관리자 로그인 등록</t>
  </si>
  <si>
    <t>화면 위 🔒 을 눌러 원하는 아이디·비밀번호를 정하세요. 등록 전에는 아무 값으로나 로그인되니, 직원에게 파일을 주기 전에 먼저 등록해 두세요.</t>
  </si>
  <si>
    <t>② 가게 이름 바꾸기</t>
  </si>
  <si>
    <t>[고정비] 화면 맨 아래 「기본 정보」에서 가게 이름을 입력하세요. 화면과 엑셀 제목에 반영됩니다.</t>
  </si>
  <si>
    <t>③ 식재료 등록</t>
  </si>
  <si>
    <t>[식재료] 화면에서 사 오는 재료와 구매가격·규격을 넣으세요. 엑셀을 쓰고 계시면 「📋 엑셀에서 일괄 등록」으로 한 번에 넣을 수 있습니다.</t>
  </si>
  <si>
    <t>④ 고정비·월매출 입력</t>
  </si>
  <si>
    <t>[고정비] 화면에서 인건비·임대료와 월 추정매출을 우리 가게 값으로 바꾸세요. 이 둘로 메뉴마다 붙는 고정비가 정해집니다.</t>
  </si>
  <si>
    <t>⑤ 메뉴와 레시피 등록</t>
  </si>
  <si>
    <t>[메뉴] 화면에서 메뉴를 추가하고, 메뉴를 눌러 재료·조리법·사진을 채우세요. 주방 화면에 그대로 나갑니다.</t>
  </si>
  <si>
    <t>⑥ 배달하신다면 포장용기를 꼭 넣으세요</t>
  </si>
  <si>
    <t>포장용기·수저·비닐봉투는 개수로 사는 품목이라 빠뜨리기 쉽습니다. [식재료]에 「개수」 단위로 등록한 뒤 배달 메뉴에 재료로 넣으면 원가에 반영됩니다. 예시로 「배달 용기 (중)」을 넣어 두었습니다.</t>
  </si>
  <si>
    <t>⑦ 예시 데이터 정리</t>
  </si>
  <si>
    <t>치킨 볶음밥 · 감자 크림 수프 · 콜라 · 런치 세트는 사용법을 보여주기 위한 예시입니다. 다 익히셨으면 지우세요.</t>
  </si>
  <si>
    <t>예시 데이터</t>
  </si>
  <si>
    <t>식재료 + 프렙 사용 예시</t>
  </si>
  <si>
    <t>일반 식재료와 미리 만들어 둔 프렙(반제품)을 함께 쓰는 메뉴입니다. 수율 90%도 함께 보여줍니다.</t>
  </si>
  <si>
    <t>수율 · 무료 항목 예시</t>
  </si>
  <si>
    <t>껍질을 벗겨 버리는 손실(수율 85%)과 원가가 들지 않는 수돗물(무료) 처리 예시입니다.</t>
  </si>
  <si>
    <t>개수 단위 예시</t>
  </si>
  <si>
    <t>캔·병·포장용기처럼 무게가 아니라 개수로 사는 품목의 원가 계산 예시입니다. 24개 21,000원 → 1개 875원.</t>
  </si>
  <si>
    <t>세트메뉴 예시</t>
  </si>
  <si>
    <t>다른 메뉴를 구성품으로 넣으면 그 메뉴의 식재료 원가가 자동으로 합산됩니다.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</si>
</sst>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0.000000"/>
    <numFmt numFmtId="166" formatCode="#,##0.##"/>
    <numFmt numFmtId="167" formatCode="#,##0.000"/>
    <numFmt numFmtId="168" formatCode="#,##0.0"/>
    <numFmt numFmtId="169" formatCode="#,##0.###"/>
    <numFmt numFmtId="170" formatCode="0.000"/>
  </numFmts>
  <fonts count="33" x14ac:knownFonts="1">
    <font>
      <color theme="1"/>
      <family val="2"/>
      <scheme val="minor"/>
      <sz val="11"/>
      <name val="Calibri"/>
    </font>
    <font>
      <b/>
      <color rgb="FFFFFFFF"/>
      <sz val="16"/>
      <name val="맑은 고딕"/>
    </font>
    <font>
      <color rgb="FF64748B"/>
      <sz val="9.5"/>
      <name val="맑은 고딕"/>
    </font>
    <font>
      <b/>
      <color rgb="FFFFFFFF"/>
      <sz val="11"/>
      <name val="맑은 고딕"/>
    </font>
    <font>
      <b/>
      <color rgb="FF0F766E"/>
      <sz val="10"/>
      <name val="맑은 고딕"/>
    </font>
    <font>
      <color rgb="FF1E293B"/>
      <sz val="10"/>
      <name val="맑은 고딕"/>
    </font>
    <font>
      <b/>
      <color rgb="FF92400E"/>
      <sz val="10"/>
      <name val="맑은 고딕"/>
    </font>
    <font>
      <b/>
      <color rgb="FF1E293B"/>
      <sz val="10"/>
      <name val="맑은 고딕"/>
    </font>
    <font>
      <b/>
      <color rgb="FF047857"/>
      <sz val="10"/>
      <name val="맑은 고딕"/>
    </font>
    <font>
      <b/>
      <color rgb="FFB45309"/>
      <sz val="10"/>
      <name val="맑은 고딕"/>
    </font>
    <font>
      <b/>
      <color rgb="FFB91C1C"/>
      <sz val="10"/>
      <name val="맑은 고딕"/>
    </font>
    <font>
      <b/>
      <color rgb="FFFFFFFF"/>
      <sz val="9"/>
      <name val="맑은 고딕"/>
    </font>
    <font>
      <b/>
      <color rgb="FF0F172A"/>
      <sz val="18"/>
      <name val="맑은 고딕"/>
    </font>
    <font>
      <b/>
      <color rgb="FF047857"/>
      <sz val="11"/>
      <name val="맑은 고딕"/>
    </font>
    <font>
      <color rgb="FF047857"/>
      <sz val="10"/>
      <name val="맑은 고딕"/>
    </font>
    <font>
      <b/>
      <color rgb="FFB45309"/>
      <sz val="11"/>
      <name val="맑은 고딕"/>
    </font>
    <font>
      <color rgb="FFB45309"/>
      <sz val="10"/>
      <name val="맑은 고딕"/>
    </font>
    <font>
      <b/>
      <color rgb="FFB91C1C"/>
      <sz val="11"/>
      <name val="맑은 고딕"/>
    </font>
    <font>
      <color rgb="FFB91C1C"/>
      <sz val="10"/>
      <name val="맑은 고딕"/>
    </font>
    <font>
      <b/>
      <color rgb="FF64748B"/>
      <sz val="10"/>
      <name val="맑은 고딕"/>
    </font>
    <font>
      <b/>
      <color rgb="FF64748B"/>
      <sz val="11"/>
      <name val="맑은 고딕"/>
    </font>
    <font>
      <color rgb="FF64748B"/>
      <sz val="10"/>
      <name val="맑은 고딕"/>
    </font>
    <font>
      <b/>
      <color rgb="FFFFFFFF"/>
      <sz val="10"/>
      <name val="맑은 고딕"/>
    </font>
    <font>
      <b/>
      <color rgb="FF0F172A"/>
      <sz val="10"/>
      <name val="맑은 고딕"/>
    </font>
    <font>
      <color rgb="FF64748B"/>
      <sz val="9"/>
      <name val="맑은 고딕"/>
    </font>
    <font>
      <color rgb="FF1E293B"/>
      <sz val="9.5"/>
      <name val="맑은 고딕"/>
    </font>
    <font>
      <color rgb="FF64748B"/>
      <sz val="8.5"/>
      <name val="맑은 고딕"/>
    </font>
    <font>
      <b/>
      <color rgb="FF1E293B"/>
      <sz val="9"/>
      <name val="맑은 고딕"/>
    </font>
    <font>
      <b/>
      <color rgb="FF0F766E"/>
      <sz val="9"/>
      <name val="맑은 고딕"/>
    </font>
    <font>
      <b/>
      <color rgb="FF64748B"/>
      <sz val="9"/>
      <name val="맑은 고딕"/>
    </font>
    <font>
      <b/>
      <color rgb="FF7C3AED"/>
      <sz val="9"/>
      <name val="맑은 고딕"/>
    </font>
    <font>
      <color rgb="FFB91C1C"/>
      <sz val="9"/>
      <name val="맑은 고딕"/>
    </font>
    <font>
      <b/>
      <color rgb="FFB45309"/>
      <sz val="9"/>
      <name val="맑은 고딕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FFBEB"/>
      </patternFill>
    </fill>
    <fill>
      <patternFill patternType="solid">
        <fgColor rgb="FFECFDF5"/>
      </patternFill>
    </fill>
    <fill>
      <patternFill patternType="solid">
        <fgColor rgb="FFFEF2F2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B91C1C"/>
      </patternFill>
    </fill>
    <fill>
      <patternFill patternType="solid">
        <fgColor rgb="FF047857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F59E0B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0F766E"/>
      </top>
      <bottom style="thin">
        <color rgb="FFE2E8F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top" inden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left" vertical="top" indent="1"/>
    </xf>
    <xf numFmtId="0" fontId="5" fillId="6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indent="1"/>
    </xf>
    <xf numFmtId="0" fontId="5" fillId="3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horizontal="left" vertical="top" indent="1"/>
    </xf>
    <xf numFmtId="0" fontId="5" fillId="7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left" vertical="top" indent="1"/>
    </xf>
    <xf numFmtId="0" fontId="10" fillId="8" borderId="1" xfId="0" applyFont="1" applyFill="1" applyBorder="1" applyAlignment="1">
      <alignment horizontal="left" vertical="top" indent="1"/>
    </xf>
    <xf numFmtId="0" fontId="5" fillId="8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center" vertical="center"/>
    </xf>
    <xf numFmtId="3" fontId="12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indent="1"/>
    </xf>
    <xf numFmtId="3" fontId="13" fillId="7" borderId="1" xfId="0" applyNumberFormat="1" applyFont="1" applyFill="1" applyBorder="1" applyAlignment="1">
      <alignment horizontal="center"/>
    </xf>
    <xf numFmtId="164" fontId="14" fillId="7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left" indent="1"/>
    </xf>
    <xf numFmtId="3" fontId="15" fillId="6" borderId="1" xfId="0" applyNumberFormat="1" applyFont="1" applyFill="1" applyBorder="1" applyAlignment="1">
      <alignment horizontal="center"/>
    </xf>
    <xf numFmtId="164" fontId="16" fillId="6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left" indent="1"/>
    </xf>
    <xf numFmtId="3" fontId="17" fillId="8" borderId="1" xfId="0" applyNumberFormat="1" applyFont="1" applyFill="1" applyBorder="1" applyAlignment="1">
      <alignment horizontal="center"/>
    </xf>
    <xf numFmtId="164" fontId="18" fillId="8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left" indent="1"/>
    </xf>
    <xf numFmtId="3" fontId="20" fillId="3" borderId="1" xfId="0" applyNumberFormat="1" applyFont="1" applyFill="1" applyBorder="1" applyAlignment="1">
      <alignment horizontal="center"/>
    </xf>
    <xf numFmtId="164" fontId="21" fillId="3" borderId="1" xfId="0" applyNumberFormat="1" applyFont="1" applyFill="1" applyBorder="1" applyAlignment="1">
      <alignment horizontal="center"/>
    </xf>
    <xf numFmtId="0" fontId="22" fillId="9" borderId="1" xfId="0" applyFont="1" applyFill="1" applyBorder="1" applyAlignment="1">
      <alignment horizontal="center" vertical="center" wrapText="1"/>
    </xf>
    <xf numFmtId="0" fontId="23" fillId="0" borderId="1" xfId="0" applyFont="1" applyBorder="1"/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0" fontId="23" fillId="10" borderId="1" xfId="0" applyFont="1" applyFill="1" applyBorder="1"/>
    <xf numFmtId="3" fontId="5" fillId="10" borderId="1" xfId="0" applyNumberFormat="1" applyFont="1" applyFill="1" applyBorder="1" applyAlignment="1">
      <alignment horizontal="center"/>
    </xf>
    <xf numFmtId="3" fontId="5" fillId="10" borderId="1" xfId="0" applyNumberFormat="1" applyFont="1" applyFill="1" applyBorder="1"/>
    <xf numFmtId="164" fontId="4" fillId="10" borderId="1" xfId="0" applyNumberFormat="1" applyFont="1" applyFill="1" applyBorder="1"/>
    <xf numFmtId="164" fontId="5" fillId="10" borderId="1" xfId="0" applyNumberFormat="1" applyFont="1" applyFill="1" applyBorder="1"/>
    <xf numFmtId="0" fontId="3" fillId="11" borderId="0" xfId="0" applyFont="1" applyFill="1" applyAlignment="1">
      <alignment horizontal="left" vertical="center" indent="1"/>
    </xf>
    <xf numFmtId="0" fontId="22" fillId="1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5" fillId="0" borderId="1" xfId="0" applyFont="1" applyBorder="1"/>
    <xf numFmtId="164" fontId="10" fillId="0" borderId="1" xfId="0" applyNumberFormat="1" applyFont="1" applyBorder="1"/>
    <xf numFmtId="0" fontId="5" fillId="0" borderId="0" xfId="0" applyFont="1"/>
    <xf numFmtId="164" fontId="8" fillId="0" borderId="1" xfId="0" applyNumberFormat="1" applyFont="1" applyBorder="1"/>
    <xf numFmtId="0" fontId="24" fillId="10" borderId="1" xfId="0" applyFont="1" applyFill="1" applyBorder="1" applyAlignment="1">
      <alignment horizontal="center"/>
    </xf>
    <xf numFmtId="0" fontId="5" fillId="10" borderId="1" xfId="0" applyFont="1" applyFill="1" applyBorder="1"/>
    <xf numFmtId="164" fontId="10" fillId="10" borderId="1" xfId="0" applyNumberFormat="1" applyFont="1" applyFill="1" applyBorder="1"/>
    <xf numFmtId="164" fontId="8" fillId="10" borderId="1" xfId="0" applyNumberFormat="1" applyFont="1" applyFill="1" applyBorder="1"/>
    <xf numFmtId="0" fontId="25" fillId="6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/>
    </xf>
    <xf numFmtId="0" fontId="24" fillId="0" borderId="1" xfId="0" applyFont="1" applyBorder="1"/>
    <xf numFmtId="3" fontId="6" fillId="6" borderId="2" xfId="0" applyNumberFormat="1" applyFont="1" applyFill="1" applyBorder="1"/>
    <xf numFmtId="3" fontId="21" fillId="3" borderId="1" xfId="0" applyNumberFormat="1" applyFont="1" applyFill="1" applyBorder="1"/>
    <xf numFmtId="3" fontId="5" fillId="3" borderId="1" xfId="0" applyNumberFormat="1" applyFont="1" applyFill="1" applyBorder="1"/>
    <xf numFmtId="164" fontId="4" fillId="3" borderId="1" xfId="0" applyNumberFormat="1" applyFont="1" applyFill="1" applyBorder="1"/>
    <xf numFmtId="164" fontId="5" fillId="3" borderId="1" xfId="0" applyNumberFormat="1" applyFont="1" applyFill="1" applyBorder="1"/>
    <xf numFmtId="164" fontId="7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65" fontId="5" fillId="3" borderId="1" xfId="0" applyNumberFormat="1" applyFont="1" applyFill="1" applyBorder="1"/>
    <xf numFmtId="0" fontId="5" fillId="10" borderId="1" xfId="0" applyFont="1" applyFill="1" applyBorder="1" applyAlignment="1">
      <alignment horizontal="center"/>
    </xf>
    <xf numFmtId="0" fontId="24" fillId="10" borderId="1" xfId="0" applyFont="1" applyFill="1" applyBorder="1"/>
    <xf numFmtId="0" fontId="4" fillId="7" borderId="3" xfId="0" applyFont="1" applyFill="1" applyBorder="1" applyAlignment="1">
      <alignment horizontal="right" indent="1"/>
    </xf>
    <xf numFmtId="3" fontId="4" fillId="7" borderId="3" xfId="0" applyNumberFormat="1" applyFont="1" applyFill="1" applyBorder="1"/>
    <xf numFmtId="164" fontId="4" fillId="7" borderId="3" xfId="0" applyNumberFormat="1" applyFont="1" applyFill="1" applyBorder="1"/>
    <xf numFmtId="0" fontId="4" fillId="7" borderId="3" xfId="0" applyFont="1" applyFill="1" applyBorder="1" applyAlignment="1">
      <alignment horizontal="center"/>
    </xf>
    <xf numFmtId="0" fontId="4" fillId="7" borderId="3" xfId="0" applyFont="1" applyFill="1" applyBorder="1"/>
    <xf numFmtId="0" fontId="26" fillId="0" borderId="1" xfId="0" applyFont="1" applyBorder="1"/>
    <xf numFmtId="0" fontId="27" fillId="0" borderId="1" xfId="0" applyFont="1" applyBorder="1" applyAlignment="1">
      <alignment horizontal="center"/>
    </xf>
    <xf numFmtId="166" fontId="6" fillId="6" borderId="2" xfId="0" applyNumberFormat="1" applyFont="1" applyFill="1" applyBorder="1"/>
    <xf numFmtId="164" fontId="6" fillId="6" borderId="2" xfId="0" applyNumberFormat="1" applyFont="1" applyFill="1" applyBorder="1"/>
    <xf numFmtId="167" fontId="5" fillId="3" borderId="1" xfId="0" applyNumberFormat="1" applyFont="1" applyFill="1" applyBorder="1"/>
    <xf numFmtId="168" fontId="4" fillId="3" borderId="1" xfId="0" applyNumberFormat="1" applyFont="1" applyFill="1" applyBorder="1"/>
    <xf numFmtId="0" fontId="28" fillId="0" borderId="1" xfId="0" applyFont="1" applyBorder="1" applyAlignment="1">
      <alignment horizontal="center"/>
    </xf>
    <xf numFmtId="0" fontId="26" fillId="10" borderId="1" xfId="0" applyFont="1" applyFill="1" applyBorder="1"/>
    <xf numFmtId="0" fontId="27" fillId="10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/>
    </xf>
    <xf numFmtId="169" fontId="6" fillId="6" borderId="2" xfId="0" applyNumberFormat="1" applyFont="1" applyFill="1" applyBorder="1"/>
    <xf numFmtId="167" fontId="4" fillId="3" borderId="1" xfId="0" applyNumberFormat="1" applyFont="1" applyFill="1" applyBorder="1"/>
    <xf numFmtId="0" fontId="31" fillId="0" borderId="1" xfId="0" applyFont="1" applyBorder="1"/>
    <xf numFmtId="0" fontId="31" fillId="10" borderId="1" xfId="0" applyFont="1" applyFill="1" applyBorder="1"/>
    <xf numFmtId="0" fontId="6" fillId="6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right" indent="1"/>
    </xf>
    <xf numFmtId="3" fontId="4" fillId="7" borderId="1" xfId="0" applyNumberFormat="1" applyFont="1" applyFill="1" applyBorder="1"/>
    <xf numFmtId="0" fontId="4" fillId="7" borderId="1" xfId="0" applyFont="1" applyFill="1" applyBorder="1"/>
    <xf numFmtId="0" fontId="24" fillId="7" borderId="1" xfId="0" applyFont="1" applyFill="1" applyBorder="1"/>
    <xf numFmtId="0" fontId="7" fillId="0" borderId="1" xfId="0" applyFont="1" applyBorder="1" applyAlignment="1">
      <alignment horizontal="right" indent="1"/>
    </xf>
    <xf numFmtId="170" fontId="5" fillId="3" borderId="1" xfId="0" applyNumberFormat="1" applyFont="1" applyFill="1" applyBorder="1"/>
    <xf numFmtId="0" fontId="32" fillId="0" borderId="1" xfId="0" applyFont="1" applyBorder="1"/>
    <xf numFmtId="0" fontId="32" fillId="10" borderId="1" xfId="0" applyFont="1" applyFill="1" applyBorder="1"/>
  </cellXfs>
  <cellStyles count="1">
    <cellStyle name="Normal" xfId="0" builtinId="0"/>
  </cellStyles>
  <dxfs count="3">
    <dxf>
      <font>
        <b/>
        <color rgb="FFB91C1C"/>
      </font>
      <fill>
        <patternFill patternType="solid">
          <fgColor rgb="FFFEF2F2"/>
        </patternFill>
      </fill>
    </dxf>
    <dxf>
      <font>
        <b/>
        <color rgb="FFB45309"/>
      </font>
      <fill>
        <patternFill patternType="solid">
          <fgColor rgb="FFFFFBEB"/>
        </patternFill>
      </fill>
    </dxf>
    <dxf>
      <font>
        <b/>
        <color rgb="FF047857"/>
      </font>
      <fill>
        <patternFill patternType="solid">
          <fgColor rgb="FFECFD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 showGridLines="0"/>
  </sheetViews>
  <sheetFormatPr defaultRowHeight="19" outlineLevelRow="0" outlineLevelCol="0" x14ac:dyDescent="55" customHeight="1"/>
  <cols>
    <col min="1" max="1" width="4" customWidth="1"/>
    <col min="2" max="2" width="22" customWidth="1"/>
    <col min="3" max="3" width="96" customWidth="1"/>
    <col min="4" max="4" width="4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4" customHeight="1" spans="1:4" x14ac:dyDescent="0.25">
      <c r="A4" s="3" t="s">
        <v>2</v>
      </c>
      <c r="B4" s="3"/>
      <c r="C4" s="3"/>
      <c r="D4" s="3"/>
    </row>
    <row r="5" ht="22" customHeight="1" spans="2:3" x14ac:dyDescent="0.25">
      <c r="B5" s="4" t="s">
        <v>3</v>
      </c>
      <c r="C5" s="5" t="s">
        <v>4</v>
      </c>
    </row>
    <row r="6" ht="22" customHeight="1" spans="2:3" x14ac:dyDescent="0.25">
      <c r="B6" s="4" t="s">
        <v>5</v>
      </c>
      <c r="C6" s="5" t="s">
        <v>6</v>
      </c>
    </row>
    <row r="7" ht="22" customHeight="1" spans="2:3" x14ac:dyDescent="0.25">
      <c r="B7" s="4" t="s">
        <v>7</v>
      </c>
      <c r="C7" s="5" t="s">
        <v>8</v>
      </c>
    </row>
    <row r="8" ht="22" customHeight="1" spans="2:3" x14ac:dyDescent="0.25">
      <c r="B8" s="4" t="s">
        <v>9</v>
      </c>
      <c r="C8" s="5" t="s">
        <v>10</v>
      </c>
    </row>
    <row r="9" ht="22" customHeight="1" spans="2:3" x14ac:dyDescent="0.25">
      <c r="B9" s="4" t="s">
        <v>11</v>
      </c>
      <c r="C9" s="5" t="s">
        <v>12</v>
      </c>
    </row>
    <row r="10" ht="22" customHeight="1" spans="2:3" x14ac:dyDescent="0.25">
      <c r="B10" s="4" t="s">
        <v>13</v>
      </c>
      <c r="C10" s="5" t="s">
        <v>14</v>
      </c>
    </row>
    <row r="11" ht="22" customHeight="1" spans="2:3" x14ac:dyDescent="0.25">
      <c r="B11" s="4" t="s">
        <v>15</v>
      </c>
      <c r="C11" s="5" t="s">
        <v>16</v>
      </c>
    </row>
    <row r="13" ht="24" customHeight="1" spans="1:4" x14ac:dyDescent="0.25">
      <c r="A13" s="3" t="s">
        <v>17</v>
      </c>
      <c r="B13" s="3"/>
      <c r="C13" s="3"/>
      <c r="D13" s="3"/>
    </row>
    <row r="14" ht="22" customHeight="1" spans="2:3" x14ac:dyDescent="0.25">
      <c r="B14" s="6" t="s">
        <v>18</v>
      </c>
      <c r="C14" s="7" t="s">
        <v>19</v>
      </c>
    </row>
    <row r="15" ht="22" customHeight="1" spans="2:3" x14ac:dyDescent="0.25">
      <c r="B15" s="8" t="s">
        <v>20</v>
      </c>
      <c r="C15" s="9" t="s">
        <v>21</v>
      </c>
    </row>
    <row r="16" ht="22" customHeight="1" spans="2:3" x14ac:dyDescent="0.25">
      <c r="B16" s="10" t="s">
        <v>22</v>
      </c>
      <c r="C16" s="11" t="s">
        <v>23</v>
      </c>
    </row>
    <row r="17" ht="22" customHeight="1" spans="2:3" x14ac:dyDescent="0.25">
      <c r="B17" s="12" t="s">
        <v>24</v>
      </c>
      <c r="C17" s="7" t="s">
        <v>25</v>
      </c>
    </row>
    <row r="18" ht="22" customHeight="1" spans="2:3" x14ac:dyDescent="0.25">
      <c r="B18" s="13" t="s">
        <v>26</v>
      </c>
      <c r="C18" s="14" t="s">
        <v>27</v>
      </c>
    </row>
    <row r="20" ht="24" customHeight="1" spans="1:4" x14ac:dyDescent="0.25">
      <c r="A20" s="3" t="s">
        <v>28</v>
      </c>
      <c r="B20" s="3"/>
      <c r="C20" s="3"/>
      <c r="D20" s="3"/>
    </row>
    <row r="21" ht="22" customHeight="1" spans="2:3" x14ac:dyDescent="0.25">
      <c r="B21" s="4" t="s">
        <v>29</v>
      </c>
      <c r="C21" s="5" t="s">
        <v>30</v>
      </c>
    </row>
    <row r="22" ht="22" customHeight="1" spans="2:3" x14ac:dyDescent="0.25">
      <c r="B22" s="4" t="s">
        <v>31</v>
      </c>
      <c r="C22" s="5" t="s">
        <v>32</v>
      </c>
    </row>
    <row r="23" ht="22" customHeight="1" spans="2:3" x14ac:dyDescent="0.25">
      <c r="B23" s="4" t="s">
        <v>33</v>
      </c>
      <c r="C23" s="5" t="s">
        <v>34</v>
      </c>
    </row>
    <row r="24" ht="22" customHeight="1" spans="2:3" x14ac:dyDescent="0.25">
      <c r="B24" s="4" t="s">
        <v>35</v>
      </c>
      <c r="C24" s="5" t="s">
        <v>36</v>
      </c>
    </row>
    <row r="25" ht="22" customHeight="1" spans="2:3" x14ac:dyDescent="0.25">
      <c r="B25" s="4" t="s">
        <v>37</v>
      </c>
      <c r="C25" s="5" t="s">
        <v>38</v>
      </c>
    </row>
    <row r="26" ht="22" customHeight="1" spans="2:3" x14ac:dyDescent="0.25">
      <c r="B26" s="4" t="s">
        <v>39</v>
      </c>
      <c r="C26" s="5" t="s">
        <v>40</v>
      </c>
    </row>
    <row r="27" ht="22" customHeight="1" spans="2:3" x14ac:dyDescent="0.25">
      <c r="B27" s="4" t="s">
        <v>41</v>
      </c>
      <c r="C27" s="5" t="s">
        <v>42</v>
      </c>
    </row>
    <row r="28" ht="34" customHeight="1" spans="2:3" x14ac:dyDescent="0.25">
      <c r="B28" s="12" t="s">
        <v>43</v>
      </c>
      <c r="C28" s="7" t="s">
        <v>44</v>
      </c>
    </row>
    <row r="30" ht="24" customHeight="1" spans="1:4" x14ac:dyDescent="0.25">
      <c r="A30" s="3" t="s">
        <v>45</v>
      </c>
      <c r="B30" s="3"/>
      <c r="C30" s="3"/>
      <c r="D30" s="3"/>
    </row>
    <row r="31" ht="46" customHeight="1" spans="2:3" x14ac:dyDescent="0.25">
      <c r="B31" s="12" t="s">
        <v>46</v>
      </c>
      <c r="C31" s="7" t="s">
        <v>47</v>
      </c>
    </row>
    <row r="32" ht="34" customHeight="1" spans="2:3" x14ac:dyDescent="0.25">
      <c r="B32" s="4" t="s">
        <v>48</v>
      </c>
      <c r="C32" s="5" t="s">
        <v>49</v>
      </c>
    </row>
    <row r="33" ht="34" customHeight="1" spans="2:3" x14ac:dyDescent="0.25">
      <c r="B33" s="4" t="s">
        <v>50</v>
      </c>
      <c r="C33" s="5" t="s">
        <v>51</v>
      </c>
    </row>
    <row r="34" ht="34" customHeight="1" spans="2:3" x14ac:dyDescent="0.25">
      <c r="B34" s="4" t="s">
        <v>52</v>
      </c>
      <c r="C34" s="5" t="s">
        <v>53</v>
      </c>
    </row>
    <row r="36" ht="24" customHeight="1" spans="1:4" x14ac:dyDescent="0.25">
      <c r="A36" s="3" t="s">
        <v>54</v>
      </c>
      <c r="B36" s="3"/>
      <c r="C36" s="3"/>
      <c r="D36" s="3"/>
    </row>
    <row r="37" ht="46" customHeight="1" spans="2:3" x14ac:dyDescent="0.25">
      <c r="B37" s="4" t="s">
        <v>55</v>
      </c>
      <c r="C37" s="5" t="s">
        <v>56</v>
      </c>
    </row>
  </sheetData>
  <mergeCells count="7">
    <mergeCell ref="A1:D1"/>
    <mergeCell ref="A2:D2"/>
    <mergeCell ref="A4:D4"/>
    <mergeCell ref="A13:D13"/>
    <mergeCell ref="A20:D20"/>
    <mergeCell ref="A30:D30"/>
    <mergeCell ref="A36:D36"/>
  </mergeCells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workbookViewId="0" showGridLines="0"/>
  </sheetViews>
  <sheetFormatPr defaultRowHeight="19" outlineLevelRow="0" outlineLevelCol="0" x14ac:dyDescent="55" customHeight="1"/>
  <cols>
    <col min="1" max="1" width="4" customWidth="1"/>
    <col min="2" max="2" width="20" customWidth="1"/>
    <col min="3" max="3" width="10" customWidth="1"/>
    <col min="4" max="5" width="14" customWidth="1"/>
    <col min="6" max="6" width="11" customWidth="1"/>
    <col min="7" max="7" width="14" customWidth="1"/>
    <col min="8" max="8" width="11" customWidth="1"/>
    <col min="9" max="9" width="14" customWidth="1"/>
    <col min="10" max="10" width="11" customWidth="1"/>
    <col min="11" max="11" width="4" customWidth="1"/>
  </cols>
  <sheetData>
    <row r="1" ht="34" customHeight="1" spans="1:11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2:11" x14ac:dyDescent="0.25">
      <c r="B4" s="15" t="s">
        <v>58</v>
      </c>
      <c r="C4" s="15"/>
      <c r="D4" s="15" t="s">
        <v>59</v>
      </c>
      <c r="E4" s="15"/>
      <c r="F4" s="15" t="s">
        <v>60</v>
      </c>
      <c r="G4" s="15"/>
      <c r="H4" s="15" t="s">
        <v>61</v>
      </c>
      <c r="I4" s="15"/>
      <c r="J4" s="15" t="s">
        <v>62</v>
      </c>
      <c r="K4" s="15"/>
    </row>
    <row r="5" ht="38" customHeight="1" spans="2:11" x14ac:dyDescent="0.25">
      <c r="B5" s="16">
        <f>COUNTA('④ 메뉴 원가표'!$C$6:$C$9)</f>
      </c>
      <c r="C5" s="16"/>
      <c r="D5" s="17">
        <f>IF('④ 메뉴 원가표'!$E$10&gt;0,'④ 메뉴 원가표'!$F$10/'④ 메뉴 원가표'!$E$10,0)</f>
      </c>
      <c r="E5" s="17"/>
      <c r="F5" s="17">
        <f>IF('④ 메뉴 원가표'!$E$10&gt;0,'④ 메뉴 원가표'!$I$10/'④ 메뉴 원가표'!$E$10,0)</f>
      </c>
      <c r="G5" s="17"/>
      <c r="H5" s="17">
        <f>IF('④ 메뉴 원가표'!$E$10&gt;0,('④ 메뉴 원가표'!$E$10-'④ 메뉴 원가표'!$I$10)/'④ 메뉴 원가표'!$E$10,0)</f>
      </c>
      <c r="I5" s="17"/>
      <c r="J5" s="17">
        <f>'③ 고정비 설정'!$C$20</f>
      </c>
      <c r="K5" s="17"/>
    </row>
    <row r="7" ht="24" customHeight="1" spans="1:11" x14ac:dyDescent="0.25">
      <c r="A7" s="3" t="s">
        <v>63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2:5" x14ac:dyDescent="0.25">
      <c r="B8" s="18" t="s">
        <v>22</v>
      </c>
      <c r="C8" s="18"/>
      <c r="D8" s="19">
        <f>COUNTIF('④ 메뉴 원가표'!$M$6:$M$9,"*양호*")</f>
      </c>
      <c r="E8" s="20">
        <f>IF(COUNTA('④ 메뉴 원가표'!$C$6:$C$9)&gt;0,D8/COUNTA('④ 메뉴 원가표'!$C$6:$C$9),0)</f>
      </c>
    </row>
    <row r="9" spans="2:5" x14ac:dyDescent="0.25">
      <c r="B9" s="21" t="s">
        <v>24</v>
      </c>
      <c r="C9" s="21"/>
      <c r="D9" s="22">
        <f>COUNTIF('④ 메뉴 원가표'!$M$6:$M$9,"*주의*")</f>
      </c>
      <c r="E9" s="23">
        <f>IF(COUNTA('④ 메뉴 원가표'!$C$6:$C$9)&gt;0,D9/COUNTA('④ 메뉴 원가표'!$C$6:$C$9),0)</f>
      </c>
    </row>
    <row r="10" spans="2:5" x14ac:dyDescent="0.25">
      <c r="B10" s="24" t="s">
        <v>26</v>
      </c>
      <c r="C10" s="24"/>
      <c r="D10" s="25">
        <f>COUNTIF('④ 메뉴 원가표'!$M$6:$M$9,"*과다*")</f>
      </c>
      <c r="E10" s="26">
        <f>IF(COUNTA('④ 메뉴 원가표'!$C$6:$C$9)&gt;0,D10/COUNTA('④ 메뉴 원가표'!$C$6:$C$9),0)</f>
      </c>
    </row>
    <row r="11" spans="2:5" x14ac:dyDescent="0.25">
      <c r="B11" s="27" t="s">
        <v>64</v>
      </c>
      <c r="C11" s="27"/>
      <c r="D11" s="28">
        <f>COUNTIF('④ 메뉴 원가표'!$M$6:$M$9,"*판매가*")</f>
      </c>
      <c r="E11" s="29">
        <f>IF(COUNTA('④ 메뉴 원가표'!$C$6:$C$9)&gt;0,D11/COUNTA('④ 메뉴 원가표'!$C$6:$C$9),0)</f>
      </c>
    </row>
    <row r="13" ht="24" customHeight="1" spans="1:11" x14ac:dyDescent="0.25">
      <c r="A13" s="3" t="s">
        <v>65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26" customHeight="1" spans="1:11" x14ac:dyDescent="0.25">
      <c r="A14" s="30" t="s">
        <v>66</v>
      </c>
      <c r="B14" s="30" t="s">
        <v>67</v>
      </c>
      <c r="C14" s="30" t="s">
        <v>68</v>
      </c>
      <c r="D14" s="30" t="s">
        <v>69</v>
      </c>
      <c r="E14" s="30" t="s">
        <v>37</v>
      </c>
      <c r="F14" s="30" t="s">
        <v>70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66</v>
      </c>
    </row>
    <row r="15" spans="2:10" x14ac:dyDescent="0.25">
      <c r="B15" s="31" t="s">
        <v>75</v>
      </c>
      <c r="C15" s="32">
        <f>COUNTIF('④ 메뉴 원가표'!$B$6:$B$9,"🍳 메인 요리")</f>
      </c>
      <c r="D15" s="33">
        <f>SUMIF('④ 메뉴 원가표'!$B$6:$B$9,"🍳 메인 요리",'④ 메뉴 원가표'!$D$6:$D$9)</f>
      </c>
      <c r="E15" s="33">
        <f>SUMIF('④ 메뉴 원가표'!$B$6:$B$9,"🍳 메인 요리",'④ 메뉴 원가표'!$E$6:$E$9)</f>
      </c>
      <c r="F15" s="33">
        <f>SUMIF('④ 메뉴 원가표'!$B$6:$B$9,"🍳 메인 요리",'④ 메뉴 원가표'!$F$6:$F$9)</f>
      </c>
      <c r="G15" s="34">
        <f>IF(E15&gt;0,F15/E15,"")</f>
      </c>
      <c r="H15" s="33">
        <f>SUMIF('④ 메뉴 원가표'!$B$6:$B$9,"🍳 메인 요리",'④ 메뉴 원가표'!$H$6:$H$9)</f>
      </c>
      <c r="I15" s="33">
        <f>SUMIF('④ 메뉴 원가표'!$B$6:$B$9,"🍳 메인 요리",'④ 메뉴 원가표'!$I$6:$I$9)</f>
      </c>
      <c r="J15" s="35">
        <f>IF(E15&gt;0,(E15-I15)/E15,"")</f>
      </c>
    </row>
    <row r="16" spans="2:10" x14ac:dyDescent="0.25">
      <c r="B16" s="36" t="s">
        <v>76</v>
      </c>
      <c r="C16" s="37">
        <f>COUNTIF('④ 메뉴 원가표'!$B$6:$B$9,"🥗 사이드")</f>
      </c>
      <c r="D16" s="38">
        <f>SUMIF('④ 메뉴 원가표'!$B$6:$B$9,"🥗 사이드",'④ 메뉴 원가표'!$D$6:$D$9)</f>
      </c>
      <c r="E16" s="38">
        <f>SUMIF('④ 메뉴 원가표'!$B$6:$B$9,"🥗 사이드",'④ 메뉴 원가표'!$E$6:$E$9)</f>
      </c>
      <c r="F16" s="38">
        <f>SUMIF('④ 메뉴 원가표'!$B$6:$B$9,"🥗 사이드",'④ 메뉴 원가표'!$F$6:$F$9)</f>
      </c>
      <c r="G16" s="39">
        <f>IF(E16&gt;0,F16/E16,"")</f>
      </c>
      <c r="H16" s="38">
        <f>SUMIF('④ 메뉴 원가표'!$B$6:$B$9,"🥗 사이드",'④ 메뉴 원가표'!$H$6:$H$9)</f>
      </c>
      <c r="I16" s="38">
        <f>SUMIF('④ 메뉴 원가표'!$B$6:$B$9,"🥗 사이드",'④ 메뉴 원가표'!$I$6:$I$9)</f>
      </c>
      <c r="J16" s="40">
        <f>IF(E16&gt;0,(E16-I16)/E16,"")</f>
      </c>
    </row>
    <row r="17" spans="2:10" x14ac:dyDescent="0.25">
      <c r="B17" s="31" t="s">
        <v>77</v>
      </c>
      <c r="C17" s="32">
        <f>COUNTIF('④ 메뉴 원가표'!$B$6:$B$9,"🥤 음료")</f>
      </c>
      <c r="D17" s="33">
        <f>SUMIF('④ 메뉴 원가표'!$B$6:$B$9,"🥤 음료",'④ 메뉴 원가표'!$D$6:$D$9)</f>
      </c>
      <c r="E17" s="33">
        <f>SUMIF('④ 메뉴 원가표'!$B$6:$B$9,"🥤 음료",'④ 메뉴 원가표'!$E$6:$E$9)</f>
      </c>
      <c r="F17" s="33">
        <f>SUMIF('④ 메뉴 원가표'!$B$6:$B$9,"🥤 음료",'④ 메뉴 원가표'!$F$6:$F$9)</f>
      </c>
      <c r="G17" s="34">
        <f>IF(E17&gt;0,F17/E17,"")</f>
      </c>
      <c r="H17" s="33">
        <f>SUMIF('④ 메뉴 원가표'!$B$6:$B$9,"🥤 음료",'④ 메뉴 원가표'!$H$6:$H$9)</f>
      </c>
      <c r="I17" s="33">
        <f>SUMIF('④ 메뉴 원가표'!$B$6:$B$9,"🥤 음료",'④ 메뉴 원가표'!$I$6:$I$9)</f>
      </c>
      <c r="J17" s="35">
        <f>IF(E17&gt;0,(E17-I17)/E17,"")</f>
      </c>
    </row>
    <row r="18" spans="2:10" x14ac:dyDescent="0.25">
      <c r="B18" s="36" t="s">
        <v>78</v>
      </c>
      <c r="C18" s="37">
        <f>COUNTIF('④ 메뉴 원가표'!$B$6:$B$9,"🍽 세트메뉴")</f>
      </c>
      <c r="D18" s="38">
        <f>SUMIF('④ 메뉴 원가표'!$B$6:$B$9,"🍽 세트메뉴",'④ 메뉴 원가표'!$D$6:$D$9)</f>
      </c>
      <c r="E18" s="38">
        <f>SUMIF('④ 메뉴 원가표'!$B$6:$B$9,"🍽 세트메뉴",'④ 메뉴 원가표'!$E$6:$E$9)</f>
      </c>
      <c r="F18" s="38">
        <f>SUMIF('④ 메뉴 원가표'!$B$6:$B$9,"🍽 세트메뉴",'④ 메뉴 원가표'!$F$6:$F$9)</f>
      </c>
      <c r="G18" s="39">
        <f>IF(E18&gt;0,F18/E18,"")</f>
      </c>
      <c r="H18" s="38">
        <f>SUMIF('④ 메뉴 원가표'!$B$6:$B$9,"🍽 세트메뉴",'④ 메뉴 원가표'!$H$6:$H$9)</f>
      </c>
      <c r="I18" s="38">
        <f>SUMIF('④ 메뉴 원가표'!$B$6:$B$9,"🍽 세트메뉴",'④ 메뉴 원가표'!$I$6:$I$9)</f>
      </c>
      <c r="J18" s="40">
        <f>IF(E18&gt;0,(E18-I18)/E18,"")</f>
      </c>
    </row>
    <row r="20" ht="24" customHeight="1" spans="1:11" x14ac:dyDescent="0.25">
      <c r="A20" s="41" t="s">
        <v>79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ht="26" customHeight="1" spans="1:11" x14ac:dyDescent="0.25">
      <c r="A21" s="30" t="s">
        <v>66</v>
      </c>
      <c r="B21" s="30" t="s">
        <v>80</v>
      </c>
      <c r="C21" s="30" t="s">
        <v>81</v>
      </c>
      <c r="D21" s="30" t="s">
        <v>82</v>
      </c>
      <c r="E21" s="30" t="s">
        <v>70</v>
      </c>
      <c r="F21" s="30" t="s">
        <v>71</v>
      </c>
      <c r="G21" s="30" t="s">
        <v>66</v>
      </c>
      <c r="H21" s="42" t="s">
        <v>83</v>
      </c>
      <c r="I21" s="42"/>
      <c r="J21" s="42"/>
      <c r="K21" s="30" t="s">
        <v>66</v>
      </c>
    </row>
    <row r="22" spans="2:10" x14ac:dyDescent="0.25">
      <c r="B22" s="43">
        <v>1</v>
      </c>
      <c r="C22" s="44">
        <f>IFERROR(INDEX('④ 메뉴 원가표'!$C$6:$C$9,MATCH(LARGE('④ 메뉴 원가표'!$N$6:$N$9,1),'④ 메뉴 원가표'!$N$6:$N$9,0)),"")</f>
      </c>
      <c r="D22" s="33">
        <f>IFERROR(INDEX('④ 메뉴 원가표'!$D$6:$D$9,MATCH(LARGE('④ 메뉴 원가표'!$N$6:$N$9,1),'④ 메뉴 원가표'!$N$6:$N$9,0)),"")</f>
      </c>
      <c r="E22" s="33">
        <f>IFERROR(INDEX('④ 메뉴 원가표'!$F$6:$F$9,MATCH(LARGE('④ 메뉴 원가표'!$N$6:$N$9,1),'④ 메뉴 원가표'!$N$6:$N$9,0)),"")</f>
      </c>
      <c r="F22" s="45">
        <f>IFERROR(INDEX('④ 메뉴 원가표'!$G$6:$G$9,MATCH(LARGE('④ 메뉴 원가표'!$N$6:$N$9,1),'④ 메뉴 원가표'!$N$6:$N$9,0)),"")</f>
      </c>
      <c r="G22" s="46" t="s">
        <v>66</v>
      </c>
      <c r="H22" s="43">
        <v>1</v>
      </c>
      <c r="I22" s="44">
        <f>IFERROR(INDEX('④ 메뉴 원가표'!$C$6:$C$9,MATCH(SMALL('④ 메뉴 원가표'!$N$6:$N$9,1),'④ 메뉴 원가표'!$N$6:$N$9,0)),"")</f>
      </c>
      <c r="J22" s="47">
        <f>IFERROR(INDEX('④ 메뉴 원가표'!$G$6:$G$9,MATCH(SMALL('④ 메뉴 원가표'!$N$6:$N$9,1),'④ 메뉴 원가표'!$N$6:$N$9,0)),"")</f>
      </c>
    </row>
    <row r="23" spans="2:10" x14ac:dyDescent="0.25">
      <c r="B23" s="48">
        <v>2</v>
      </c>
      <c r="C23" s="49">
        <f>IFERROR(INDEX('④ 메뉴 원가표'!$C$6:$C$9,MATCH(LARGE('④ 메뉴 원가표'!$N$6:$N$9,2),'④ 메뉴 원가표'!$N$6:$N$9,0)),"")</f>
      </c>
      <c r="D23" s="38">
        <f>IFERROR(INDEX('④ 메뉴 원가표'!$D$6:$D$9,MATCH(LARGE('④ 메뉴 원가표'!$N$6:$N$9,2),'④ 메뉴 원가표'!$N$6:$N$9,0)),"")</f>
      </c>
      <c r="E23" s="38">
        <f>IFERROR(INDEX('④ 메뉴 원가표'!$F$6:$F$9,MATCH(LARGE('④ 메뉴 원가표'!$N$6:$N$9,2),'④ 메뉴 원가표'!$N$6:$N$9,0)),"")</f>
      </c>
      <c r="F23" s="50">
        <f>IFERROR(INDEX('④ 메뉴 원가표'!$G$6:$G$9,MATCH(LARGE('④ 메뉴 원가표'!$N$6:$N$9,2),'④ 메뉴 원가표'!$N$6:$N$9,0)),"")</f>
      </c>
      <c r="G23" s="46" t="s">
        <v>66</v>
      </c>
      <c r="H23" s="48">
        <v>2</v>
      </c>
      <c r="I23" s="49">
        <f>IFERROR(INDEX('④ 메뉴 원가표'!$C$6:$C$9,MATCH(SMALL('④ 메뉴 원가표'!$N$6:$N$9,2),'④ 메뉴 원가표'!$N$6:$N$9,0)),"")</f>
      </c>
      <c r="J23" s="51">
        <f>IFERROR(INDEX('④ 메뉴 원가표'!$G$6:$G$9,MATCH(SMALL('④ 메뉴 원가표'!$N$6:$N$9,2),'④ 메뉴 원가표'!$N$6:$N$9,0)),"")</f>
      </c>
    </row>
    <row r="24" spans="2:10" x14ac:dyDescent="0.25">
      <c r="B24" s="43">
        <v>3</v>
      </c>
      <c r="C24" s="44">
        <f>IFERROR(INDEX('④ 메뉴 원가표'!$C$6:$C$9,MATCH(LARGE('④ 메뉴 원가표'!$N$6:$N$9,3),'④ 메뉴 원가표'!$N$6:$N$9,0)),"")</f>
      </c>
      <c r="D24" s="33">
        <f>IFERROR(INDEX('④ 메뉴 원가표'!$D$6:$D$9,MATCH(LARGE('④ 메뉴 원가표'!$N$6:$N$9,3),'④ 메뉴 원가표'!$N$6:$N$9,0)),"")</f>
      </c>
      <c r="E24" s="33">
        <f>IFERROR(INDEX('④ 메뉴 원가표'!$F$6:$F$9,MATCH(LARGE('④ 메뉴 원가표'!$N$6:$N$9,3),'④ 메뉴 원가표'!$N$6:$N$9,0)),"")</f>
      </c>
      <c r="F24" s="45">
        <f>IFERROR(INDEX('④ 메뉴 원가표'!$G$6:$G$9,MATCH(LARGE('④ 메뉴 원가표'!$N$6:$N$9,3),'④ 메뉴 원가표'!$N$6:$N$9,0)),"")</f>
      </c>
      <c r="G24" s="46" t="s">
        <v>66</v>
      </c>
      <c r="H24" s="43">
        <v>3</v>
      </c>
      <c r="I24" s="44">
        <f>IFERROR(INDEX('④ 메뉴 원가표'!$C$6:$C$9,MATCH(SMALL('④ 메뉴 원가표'!$N$6:$N$9,3),'④ 메뉴 원가표'!$N$6:$N$9,0)),"")</f>
      </c>
      <c r="J24" s="47">
        <f>IFERROR(INDEX('④ 메뉴 원가표'!$G$6:$G$9,MATCH(SMALL('④ 메뉴 원가표'!$N$6:$N$9,3),'④ 메뉴 원가표'!$N$6:$N$9,0)),"")</f>
      </c>
    </row>
    <row r="25" spans="2:10" x14ac:dyDescent="0.25">
      <c r="B25" s="48">
        <v>4</v>
      </c>
      <c r="C25" s="49">
        <f>IFERROR(INDEX('④ 메뉴 원가표'!$C$6:$C$9,MATCH(LARGE('④ 메뉴 원가표'!$N$6:$N$9,4),'④ 메뉴 원가표'!$N$6:$N$9,0)),"")</f>
      </c>
      <c r="D25" s="38">
        <f>IFERROR(INDEX('④ 메뉴 원가표'!$D$6:$D$9,MATCH(LARGE('④ 메뉴 원가표'!$N$6:$N$9,4),'④ 메뉴 원가표'!$N$6:$N$9,0)),"")</f>
      </c>
      <c r="E25" s="38">
        <f>IFERROR(INDEX('④ 메뉴 원가표'!$F$6:$F$9,MATCH(LARGE('④ 메뉴 원가표'!$N$6:$N$9,4),'④ 메뉴 원가표'!$N$6:$N$9,0)),"")</f>
      </c>
      <c r="F25" s="50">
        <f>IFERROR(INDEX('④ 메뉴 원가표'!$G$6:$G$9,MATCH(LARGE('④ 메뉴 원가표'!$N$6:$N$9,4),'④ 메뉴 원가표'!$N$6:$N$9,0)),"")</f>
      </c>
      <c r="G25" s="46" t="s">
        <v>66</v>
      </c>
      <c r="H25" s="48">
        <v>4</v>
      </c>
      <c r="I25" s="49">
        <f>IFERROR(INDEX('④ 메뉴 원가표'!$C$6:$C$9,MATCH(SMALL('④ 메뉴 원가표'!$N$6:$N$9,4),'④ 메뉴 원가표'!$N$6:$N$9,0)),"")</f>
      </c>
      <c r="J25" s="51">
        <f>IFERROR(INDEX('④ 메뉴 원가표'!$G$6:$G$9,MATCH(SMALL('④ 메뉴 원가표'!$N$6:$N$9,4),'④ 메뉴 원가표'!$N$6:$N$9,0)),"")</f>
      </c>
    </row>
    <row r="26" spans="2:10" x14ac:dyDescent="0.25">
      <c r="B26" s="43">
        <v>5</v>
      </c>
      <c r="C26" s="44">
        <f>IFERROR(INDEX('④ 메뉴 원가표'!$C$6:$C$9,MATCH(LARGE('④ 메뉴 원가표'!$N$6:$N$9,5),'④ 메뉴 원가표'!$N$6:$N$9,0)),"")</f>
      </c>
      <c r="D26" s="33">
        <f>IFERROR(INDEX('④ 메뉴 원가표'!$D$6:$D$9,MATCH(LARGE('④ 메뉴 원가표'!$N$6:$N$9,5),'④ 메뉴 원가표'!$N$6:$N$9,0)),"")</f>
      </c>
      <c r="E26" s="33">
        <f>IFERROR(INDEX('④ 메뉴 원가표'!$F$6:$F$9,MATCH(LARGE('④ 메뉴 원가표'!$N$6:$N$9,5),'④ 메뉴 원가표'!$N$6:$N$9,0)),"")</f>
      </c>
      <c r="F26" s="45">
        <f>IFERROR(INDEX('④ 메뉴 원가표'!$G$6:$G$9,MATCH(LARGE('④ 메뉴 원가표'!$N$6:$N$9,5),'④ 메뉴 원가표'!$N$6:$N$9,0)),"")</f>
      </c>
      <c r="G26" s="46" t="s">
        <v>66</v>
      </c>
      <c r="H26" s="43">
        <v>5</v>
      </c>
      <c r="I26" s="44">
        <f>IFERROR(INDEX('④ 메뉴 원가표'!$C$6:$C$9,MATCH(SMALL('④ 메뉴 원가표'!$N$6:$N$9,5),'④ 메뉴 원가표'!$N$6:$N$9,0)),"")</f>
      </c>
      <c r="J26" s="47">
        <f>IFERROR(INDEX('④ 메뉴 원가표'!$G$6:$G$9,MATCH(SMALL('④ 메뉴 원가표'!$N$6:$N$9,5),'④ 메뉴 원가표'!$N$6:$N$9,0)),"")</f>
      </c>
    </row>
    <row r="27" spans="2:10" x14ac:dyDescent="0.25">
      <c r="B27" s="48">
        <v>6</v>
      </c>
      <c r="C27" s="49">
        <f>IFERROR(INDEX('④ 메뉴 원가표'!$C$6:$C$9,MATCH(LARGE('④ 메뉴 원가표'!$N$6:$N$9,6),'④ 메뉴 원가표'!$N$6:$N$9,0)),"")</f>
      </c>
      <c r="D27" s="38">
        <f>IFERROR(INDEX('④ 메뉴 원가표'!$D$6:$D$9,MATCH(LARGE('④ 메뉴 원가표'!$N$6:$N$9,6),'④ 메뉴 원가표'!$N$6:$N$9,0)),"")</f>
      </c>
      <c r="E27" s="38">
        <f>IFERROR(INDEX('④ 메뉴 원가표'!$F$6:$F$9,MATCH(LARGE('④ 메뉴 원가표'!$N$6:$N$9,6),'④ 메뉴 원가표'!$N$6:$N$9,0)),"")</f>
      </c>
      <c r="F27" s="50">
        <f>IFERROR(INDEX('④ 메뉴 원가표'!$G$6:$G$9,MATCH(LARGE('④ 메뉴 원가표'!$N$6:$N$9,6),'④ 메뉴 원가표'!$N$6:$N$9,0)),"")</f>
      </c>
      <c r="G27" s="46" t="s">
        <v>66</v>
      </c>
      <c r="H27" s="48">
        <v>6</v>
      </c>
      <c r="I27" s="49">
        <f>IFERROR(INDEX('④ 메뉴 원가표'!$C$6:$C$9,MATCH(SMALL('④ 메뉴 원가표'!$N$6:$N$9,6),'④ 메뉴 원가표'!$N$6:$N$9,0)),"")</f>
      </c>
      <c r="J27" s="51">
        <f>IFERROR(INDEX('④ 메뉴 원가표'!$G$6:$G$9,MATCH(SMALL('④ 메뉴 원가표'!$N$6:$N$9,6),'④ 메뉴 원가표'!$N$6:$N$9,0)),"")</f>
      </c>
    </row>
    <row r="28" spans="2:10" x14ac:dyDescent="0.25">
      <c r="B28" s="43">
        <v>7</v>
      </c>
      <c r="C28" s="44">
        <f>IFERROR(INDEX('④ 메뉴 원가표'!$C$6:$C$9,MATCH(LARGE('④ 메뉴 원가표'!$N$6:$N$9,7),'④ 메뉴 원가표'!$N$6:$N$9,0)),"")</f>
      </c>
      <c r="D28" s="33">
        <f>IFERROR(INDEX('④ 메뉴 원가표'!$D$6:$D$9,MATCH(LARGE('④ 메뉴 원가표'!$N$6:$N$9,7),'④ 메뉴 원가표'!$N$6:$N$9,0)),"")</f>
      </c>
      <c r="E28" s="33">
        <f>IFERROR(INDEX('④ 메뉴 원가표'!$F$6:$F$9,MATCH(LARGE('④ 메뉴 원가표'!$N$6:$N$9,7),'④ 메뉴 원가표'!$N$6:$N$9,0)),"")</f>
      </c>
      <c r="F28" s="45">
        <f>IFERROR(INDEX('④ 메뉴 원가표'!$G$6:$G$9,MATCH(LARGE('④ 메뉴 원가표'!$N$6:$N$9,7),'④ 메뉴 원가표'!$N$6:$N$9,0)),"")</f>
      </c>
      <c r="G28" s="46" t="s">
        <v>66</v>
      </c>
      <c r="H28" s="43">
        <v>7</v>
      </c>
      <c r="I28" s="44">
        <f>IFERROR(INDEX('④ 메뉴 원가표'!$C$6:$C$9,MATCH(SMALL('④ 메뉴 원가표'!$N$6:$N$9,7),'④ 메뉴 원가표'!$N$6:$N$9,0)),"")</f>
      </c>
      <c r="J28" s="47">
        <f>IFERROR(INDEX('④ 메뉴 원가표'!$G$6:$G$9,MATCH(SMALL('④ 메뉴 원가표'!$N$6:$N$9,7),'④ 메뉴 원가표'!$N$6:$N$9,0)),"")</f>
      </c>
    </row>
    <row r="29" spans="2:10" x14ac:dyDescent="0.25">
      <c r="B29" s="48">
        <v>8</v>
      </c>
      <c r="C29" s="49">
        <f>IFERROR(INDEX('④ 메뉴 원가표'!$C$6:$C$9,MATCH(LARGE('④ 메뉴 원가표'!$N$6:$N$9,8),'④ 메뉴 원가표'!$N$6:$N$9,0)),"")</f>
      </c>
      <c r="D29" s="38">
        <f>IFERROR(INDEX('④ 메뉴 원가표'!$D$6:$D$9,MATCH(LARGE('④ 메뉴 원가표'!$N$6:$N$9,8),'④ 메뉴 원가표'!$N$6:$N$9,0)),"")</f>
      </c>
      <c r="E29" s="38">
        <f>IFERROR(INDEX('④ 메뉴 원가표'!$F$6:$F$9,MATCH(LARGE('④ 메뉴 원가표'!$N$6:$N$9,8),'④ 메뉴 원가표'!$N$6:$N$9,0)),"")</f>
      </c>
      <c r="F29" s="50">
        <f>IFERROR(INDEX('④ 메뉴 원가표'!$G$6:$G$9,MATCH(LARGE('④ 메뉴 원가표'!$N$6:$N$9,8),'④ 메뉴 원가표'!$N$6:$N$9,0)),"")</f>
      </c>
      <c r="G29" s="46" t="s">
        <v>66</v>
      </c>
      <c r="H29" s="48">
        <v>8</v>
      </c>
      <c r="I29" s="49">
        <f>IFERROR(INDEX('④ 메뉴 원가표'!$C$6:$C$9,MATCH(SMALL('④ 메뉴 원가표'!$N$6:$N$9,8),'④ 메뉴 원가표'!$N$6:$N$9,0)),"")</f>
      </c>
      <c r="J29" s="51">
        <f>IFERROR(INDEX('④ 메뉴 원가표'!$G$6:$G$9,MATCH(SMALL('④ 메뉴 원가표'!$N$6:$N$9,8),'④ 메뉴 원가표'!$N$6:$N$9,0)),"")</f>
      </c>
    </row>
    <row r="30" spans="2:10" x14ac:dyDescent="0.25">
      <c r="B30" s="43">
        <v>9</v>
      </c>
      <c r="C30" s="44">
        <f>IFERROR(INDEX('④ 메뉴 원가표'!$C$6:$C$9,MATCH(LARGE('④ 메뉴 원가표'!$N$6:$N$9,9),'④ 메뉴 원가표'!$N$6:$N$9,0)),"")</f>
      </c>
      <c r="D30" s="33">
        <f>IFERROR(INDEX('④ 메뉴 원가표'!$D$6:$D$9,MATCH(LARGE('④ 메뉴 원가표'!$N$6:$N$9,9),'④ 메뉴 원가표'!$N$6:$N$9,0)),"")</f>
      </c>
      <c r="E30" s="33">
        <f>IFERROR(INDEX('④ 메뉴 원가표'!$F$6:$F$9,MATCH(LARGE('④ 메뉴 원가표'!$N$6:$N$9,9),'④ 메뉴 원가표'!$N$6:$N$9,0)),"")</f>
      </c>
      <c r="F30" s="45">
        <f>IFERROR(INDEX('④ 메뉴 원가표'!$G$6:$G$9,MATCH(LARGE('④ 메뉴 원가표'!$N$6:$N$9,9),'④ 메뉴 원가표'!$N$6:$N$9,0)),"")</f>
      </c>
      <c r="G30" s="46" t="s">
        <v>66</v>
      </c>
      <c r="H30" s="43">
        <v>9</v>
      </c>
      <c r="I30" s="44">
        <f>IFERROR(INDEX('④ 메뉴 원가표'!$C$6:$C$9,MATCH(SMALL('④ 메뉴 원가표'!$N$6:$N$9,9),'④ 메뉴 원가표'!$N$6:$N$9,0)),"")</f>
      </c>
      <c r="J30" s="47">
        <f>IFERROR(INDEX('④ 메뉴 원가표'!$G$6:$G$9,MATCH(SMALL('④ 메뉴 원가표'!$N$6:$N$9,9),'④ 메뉴 원가표'!$N$6:$N$9,0)),"")</f>
      </c>
    </row>
    <row r="31" spans="2:10" x14ac:dyDescent="0.25">
      <c r="B31" s="48">
        <v>10</v>
      </c>
      <c r="C31" s="49">
        <f>IFERROR(INDEX('④ 메뉴 원가표'!$C$6:$C$9,MATCH(LARGE('④ 메뉴 원가표'!$N$6:$N$9,10),'④ 메뉴 원가표'!$N$6:$N$9,0)),"")</f>
      </c>
      <c r="D31" s="38">
        <f>IFERROR(INDEX('④ 메뉴 원가표'!$D$6:$D$9,MATCH(LARGE('④ 메뉴 원가표'!$N$6:$N$9,10),'④ 메뉴 원가표'!$N$6:$N$9,0)),"")</f>
      </c>
      <c r="E31" s="38">
        <f>IFERROR(INDEX('④ 메뉴 원가표'!$F$6:$F$9,MATCH(LARGE('④ 메뉴 원가표'!$N$6:$N$9,10),'④ 메뉴 원가표'!$N$6:$N$9,0)),"")</f>
      </c>
      <c r="F31" s="50">
        <f>IFERROR(INDEX('④ 메뉴 원가표'!$G$6:$G$9,MATCH(LARGE('④ 메뉴 원가표'!$N$6:$N$9,10),'④ 메뉴 원가표'!$N$6:$N$9,0)),"")</f>
      </c>
      <c r="G31" s="46" t="s">
        <v>66</v>
      </c>
      <c r="H31" s="48">
        <v>10</v>
      </c>
      <c r="I31" s="49">
        <f>IFERROR(INDEX('④ 메뉴 원가표'!$C$6:$C$9,MATCH(SMALL('④ 메뉴 원가표'!$N$6:$N$9,10),'④ 메뉴 원가표'!$N$6:$N$9,0)),"")</f>
      </c>
      <c r="J31" s="51">
        <f>IFERROR(INDEX('④ 메뉴 원가표'!$G$6:$G$9,MATCH(SMALL('④ 메뉴 원가표'!$N$6:$N$9,10),'④ 메뉴 원가표'!$N$6:$N$9,0)),"")</f>
      </c>
    </row>
  </sheetData>
  <mergeCells count="20">
    <mergeCell ref="A1:K1"/>
    <mergeCell ref="A2:K2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A7:K7"/>
    <mergeCell ref="B8:C8"/>
    <mergeCell ref="B9:C9"/>
    <mergeCell ref="B10:C10"/>
    <mergeCell ref="B11:C11"/>
    <mergeCell ref="A13:K13"/>
    <mergeCell ref="A20:K20"/>
    <mergeCell ref="H21:J21"/>
  </mergeCells>
  <conditionalFormatting sqref="G15:G18">
    <cfRule type="colorScale" priority="5">
      <colorScale>
        <cfvo type="min"/>
        <cfvo type="percentile" val="50"/>
        <cfvo type="max"/>
        <color rgb="FFD1FAE5"/>
        <color rgb="FFFEF3C7"/>
        <color rgb="FFFECACA"/>
      </colorScale>
    </cfRule>
  </conditionalFormatting>
  <pageMargins left="0.3" right="0.3" top="0.4" bottom="0.4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"/>
  <sheetViews>
    <sheetView workbookViewId="0" showGridLines="0">
      <pane xSplit="3" ySplit="5" topLeftCell="D6" activePane="bottomRight" state="frozen"/>
      <selection pane="bottomRight"/>
    </sheetView>
  </sheetViews>
  <sheetFormatPr defaultRowHeight="19" outlineLevelRow="0" outlineLevelCol="0" x14ac:dyDescent="55" customHeight="1"/>
  <cols>
    <col min="1" max="1" width="6" customWidth="1"/>
    <col min="2" max="2" width="15" customWidth="1"/>
    <col min="3" max="3" width="24" customWidth="1"/>
    <col min="4" max="5" width="12" customWidth="1"/>
    <col min="6" max="6" width="10" customWidth="1"/>
    <col min="7" max="8" width="12" customWidth="1"/>
    <col min="9" max="9" width="10" customWidth="1"/>
    <col min="10" max="10" width="12" customWidth="1"/>
    <col min="11" max="11" width="10" customWidth="1"/>
    <col min="12" max="12" width="13" customWidth="1"/>
    <col min="14" max="14" width="9" hidden="1" customWidth="1"/>
  </cols>
  <sheetData>
    <row r="1" ht="34" customHeight="1" spans="1:14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2" customHeight="1" spans="1:14" x14ac:dyDescent="0.25">
      <c r="A3" s="52" t="s">
        <v>85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5" ht="26" customHeight="1" spans="1:14" x14ac:dyDescent="0.25">
      <c r="A5" s="30" t="s">
        <v>86</v>
      </c>
      <c r="B5" s="30" t="s">
        <v>67</v>
      </c>
      <c r="C5" s="30" t="s">
        <v>81</v>
      </c>
      <c r="D5" s="30" t="s">
        <v>87</v>
      </c>
      <c r="E5" s="30" t="s">
        <v>37</v>
      </c>
      <c r="F5" s="30" t="s">
        <v>70</v>
      </c>
      <c r="G5" s="30" t="s">
        <v>88</v>
      </c>
      <c r="H5" s="30" t="s">
        <v>72</v>
      </c>
      <c r="I5" s="30" t="s">
        <v>73</v>
      </c>
      <c r="J5" s="30" t="s">
        <v>89</v>
      </c>
      <c r="K5" s="30" t="s">
        <v>90</v>
      </c>
      <c r="L5" s="30" t="s">
        <v>74</v>
      </c>
      <c r="M5" s="30" t="s">
        <v>91</v>
      </c>
      <c r="N5" s="30" t="s">
        <v>92</v>
      </c>
    </row>
    <row r="6" spans="1:14" x14ac:dyDescent="0.25">
      <c r="A6" s="53">
        <v>1</v>
      </c>
      <c r="B6" s="54" t="s">
        <v>75</v>
      </c>
      <c r="C6" s="31" t="s">
        <v>93</v>
      </c>
      <c r="D6" s="55">
        <v>9000</v>
      </c>
      <c r="E6" s="56">
        <f>ROUND($D6/'③ 고정비 설정'!$C$17,0)</f>
      </c>
      <c r="F6" s="57">
        <f>ROUND(SUMIF('⑤ 레시피 상세'!$B$6:$B$21,$C6,'⑤ 레시피 상세'!$K$6:$K$21),1)</f>
      </c>
      <c r="G6" s="58">
        <f>IF($E6&gt;0,$F6/$E6,"")</f>
      </c>
      <c r="H6" s="57">
        <f>ROUND($E6*'③ 고정비 설정'!$C$20,0)</f>
      </c>
      <c r="I6" s="57">
        <f>ROUND($F6+$H6,0)</f>
      </c>
      <c r="J6" s="59">
        <f>IF($E6&gt;0,$I6/$E6,"")</f>
      </c>
      <c r="K6" s="57">
        <f>IF($E6&gt;0,$E6-$I6,"")</f>
      </c>
      <c r="L6" s="60">
        <f>IF($E6&gt;0,$K6/$E6,"")</f>
      </c>
      <c r="M6" s="61">
        <f>IF($D6&lt;=0,"⬜ 판매가 입력",IF($F6&lt;=0,"⬜ 재료 확인",IF($G6&lt;='③ 고정비 설정'!$C$21,"✅ 양호",IF($G6&lt;='③ 고정비 설정'!$C$22,"🟡 주의","🔴 과다"))))</f>
      </c>
      <c r="N6" s="62">
        <f>IF($D6&gt;0,$G6+ROW()/1000000,"")</f>
      </c>
    </row>
    <row r="7" spans="1:14" x14ac:dyDescent="0.25">
      <c r="A7" s="63">
        <v>2</v>
      </c>
      <c r="B7" s="64" t="s">
        <v>76</v>
      </c>
      <c r="C7" s="36" t="s">
        <v>94</v>
      </c>
      <c r="D7" s="55">
        <v>5000</v>
      </c>
      <c r="E7" s="56">
        <f>ROUND($D7/'③ 고정비 설정'!$C$17,0)</f>
      </c>
      <c r="F7" s="57">
        <f>ROUND(SUMIF('⑤ 레시피 상세'!$B$6:$B$21,$C7,'⑤ 레시피 상세'!$K$6:$K$21),1)</f>
      </c>
      <c r="G7" s="58">
        <f>IF($E7&gt;0,$F7/$E7,"")</f>
      </c>
      <c r="H7" s="57">
        <f>ROUND($E7*'③ 고정비 설정'!$C$20,0)</f>
      </c>
      <c r="I7" s="57">
        <f>ROUND($F7+$H7,0)</f>
      </c>
      <c r="J7" s="59">
        <f>IF($E7&gt;0,$I7/$E7,"")</f>
      </c>
      <c r="K7" s="57">
        <f>IF($E7&gt;0,$E7-$I7,"")</f>
      </c>
      <c r="L7" s="60">
        <f>IF($E7&gt;0,$K7/$E7,"")</f>
      </c>
      <c r="M7" s="61">
        <f>IF($D7&lt;=0,"⬜ 판매가 입력",IF($F7&lt;=0,"⬜ 재료 확인",IF($G7&lt;='③ 고정비 설정'!$C$21,"✅ 양호",IF($G7&lt;='③ 고정비 설정'!$C$22,"🟡 주의","🔴 과다"))))</f>
      </c>
      <c r="N7" s="62">
        <f>IF($D7&gt;0,$G7+ROW()/1000000,"")</f>
      </c>
    </row>
    <row r="8" spans="1:14" x14ac:dyDescent="0.25">
      <c r="A8" s="53">
        <v>3</v>
      </c>
      <c r="B8" s="54" t="s">
        <v>77</v>
      </c>
      <c r="C8" s="31" t="s">
        <v>95</v>
      </c>
      <c r="D8" s="55">
        <v>2000</v>
      </c>
      <c r="E8" s="56">
        <f>ROUND($D8/'③ 고정비 설정'!$C$17,0)</f>
      </c>
      <c r="F8" s="57">
        <f>ROUND(SUMIF('⑤ 레시피 상세'!$B$6:$B$21,$C8,'⑤ 레시피 상세'!$K$6:$K$21),1)</f>
      </c>
      <c r="G8" s="58">
        <f>IF($E8&gt;0,$F8/$E8,"")</f>
      </c>
      <c r="H8" s="57">
        <f>ROUND($E8*'③ 고정비 설정'!$C$20,0)</f>
      </c>
      <c r="I8" s="57">
        <f>ROUND($F8+$H8,0)</f>
      </c>
      <c r="J8" s="59">
        <f>IF($E8&gt;0,$I8/$E8,"")</f>
      </c>
      <c r="K8" s="57">
        <f>IF($E8&gt;0,$E8-$I8,"")</f>
      </c>
      <c r="L8" s="60">
        <f>IF($E8&gt;0,$K8/$E8,"")</f>
      </c>
      <c r="M8" s="61">
        <f>IF($D8&lt;=0,"⬜ 판매가 입력",IF($F8&lt;=0,"⬜ 재료 확인",IF($G8&lt;='③ 고정비 설정'!$C$21,"✅ 양호",IF($G8&lt;='③ 고정비 설정'!$C$22,"🟡 주의","🔴 과다"))))</f>
      </c>
      <c r="N8" s="62">
        <f>IF($D8&gt;0,$G8+ROW()/1000000,"")</f>
      </c>
    </row>
    <row r="9" spans="1:14" x14ac:dyDescent="0.25">
      <c r="A9" s="63">
        <v>4</v>
      </c>
      <c r="B9" s="64" t="s">
        <v>78</v>
      </c>
      <c r="C9" s="36" t="s">
        <v>96</v>
      </c>
      <c r="D9" s="55">
        <v>12000</v>
      </c>
      <c r="E9" s="56">
        <f>ROUND($D9/'③ 고정비 설정'!$C$17,0)</f>
      </c>
      <c r="F9" s="57">
        <f>ROUND(SUMIF('⑤ 레시피 상세'!$B$22:$B$23,$C9,'⑤ 레시피 상세'!$K$22:$K$23),1)</f>
      </c>
      <c r="G9" s="58">
        <f>IF($E9&gt;0,$F9/$E9,"")</f>
      </c>
      <c r="H9" s="57">
        <f>ROUND($E9*'③ 고정비 설정'!$C$20,0)</f>
      </c>
      <c r="I9" s="57">
        <f>ROUND($F9+$H9,0)</f>
      </c>
      <c r="J9" s="59">
        <f>IF($E9&gt;0,$I9/$E9,"")</f>
      </c>
      <c r="K9" s="57">
        <f>IF($E9&gt;0,$E9-$I9,"")</f>
      </c>
      <c r="L9" s="60">
        <f>IF($E9&gt;0,$K9/$E9,"")</f>
      </c>
      <c r="M9" s="61">
        <f>IF($D9&lt;=0,"⬜ 판매가 입력",IF($F9&lt;=0,"⬜ 재료 확인",IF($G9&lt;='③ 고정비 설정'!$C$21,"✅ 양호",IF($G9&lt;='③ 고정비 설정'!$C$22,"🟡 주의","🔴 과다"))))</f>
      </c>
      <c r="N9" s="62">
        <f>IF($D9&gt;0,$G9+ROW()/1000000,"")</f>
      </c>
    </row>
    <row r="10" spans="1:14" x14ac:dyDescent="0.25">
      <c r="A10" s="65" t="s">
        <v>97</v>
      </c>
      <c r="B10" s="65"/>
      <c r="C10" s="65"/>
      <c r="D10" s="66">
        <f>SUM(D6:D9)</f>
      </c>
      <c r="E10" s="66">
        <f>SUM(E6:E9)</f>
      </c>
      <c r="F10" s="66">
        <f>SUM(F6:F9)</f>
      </c>
      <c r="G10" s="67">
        <f>IF(E10&gt;0,F10/E10,"")</f>
      </c>
      <c r="H10" s="66">
        <f>SUM(H6:H9)</f>
      </c>
      <c r="I10" s="66">
        <f>SUM(I6:I9)</f>
      </c>
      <c r="J10" s="67">
        <f>IF(E10&gt;0,I10/E10,"")</f>
      </c>
      <c r="K10" s="66">
        <f>IF(E10&gt;0,E10-I10,"")</f>
      </c>
      <c r="L10" s="67">
        <f>IF(E10&gt;0,K10/E10,"")</f>
      </c>
      <c r="M10" s="68">
        <f>"✅"&amp;COUNTIF(M6:M9,"*양호*")&amp;"  🟡"&amp;COUNTIF(M6:M9,"*주의*")&amp;"  🔴"&amp;COUNTIF(M6:M9,"*과다*")</f>
      </c>
      <c r="N10" s="69"/>
    </row>
  </sheetData>
  <autoFilter ref="A5:M9"/>
  <mergeCells count="4">
    <mergeCell ref="A1:N1"/>
    <mergeCell ref="A2:N2"/>
    <mergeCell ref="A3:N3"/>
    <mergeCell ref="A10:C10"/>
  </mergeCells>
  <conditionalFormatting sqref="G6:G9">
    <cfRule type="cellIs" dxfId="0" priority="1" operator="greaterThan">
      <formula>'③ 고정비 설정'!$C$22</formula>
    </cfRule>
    <cfRule type="cellIs" dxfId="1" priority="2" operator="greaterThan">
      <formula>'③ 고정비 설정'!$C$21</formula>
    </cfRule>
    <cfRule type="cellIs" dxfId="2" priority="3" operator="greaterThan">
      <formula>0</formula>
    </cfRule>
  </conditionalFormatting>
  <conditionalFormatting sqref="L6:L9">
    <cfRule type="colorScale" priority="4">
      <colorScale>
        <cfvo type="min"/>
        <cfvo type="percentile" val="50"/>
        <cfvo type="max"/>
        <color rgb="FFFECACA"/>
        <color rgb="FFFEF3C7"/>
        <color rgb="FFD1FAE5"/>
      </colorScale>
    </cfRule>
  </conditionalFormatting>
  <pageMargins left="0.3" right="0.3" top="0.4" bottom="0.4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workbookViewId="0" showGridLines="0">
      <pane xSplit="2" ySplit="5" topLeftCell="C6" activePane="bottomRight" state="frozen"/>
      <selection pane="bottomRight"/>
    </sheetView>
  </sheetViews>
  <sheetFormatPr defaultRowHeight="19" outlineLevelRow="0" outlineLevelCol="0" x14ac:dyDescent="55" customHeight="1"/>
  <cols>
    <col min="1" max="1" width="14" customWidth="1"/>
    <col min="2" max="2" width="22" customWidth="1"/>
    <col min="3" max="3" width="6" customWidth="1"/>
    <col min="5" max="5" width="30" customWidth="1"/>
    <col min="6" max="6" width="24" customWidth="1"/>
    <col min="7" max="7" width="11" customWidth="1"/>
    <col min="8" max="8" width="12" customWidth="1"/>
    <col min="10" max="11" width="13" customWidth="1"/>
    <col min="12" max="12" width="28" customWidth="1"/>
  </cols>
  <sheetData>
    <row r="1" ht="34" customHeight="1" spans="1:12" x14ac:dyDescent="0.25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52" t="s">
        <v>100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5" ht="26" customHeight="1" spans="1:12" x14ac:dyDescent="0.25">
      <c r="A5" s="30" t="s">
        <v>67</v>
      </c>
      <c r="B5" s="30" t="s">
        <v>81</v>
      </c>
      <c r="C5" s="30" t="s">
        <v>101</v>
      </c>
      <c r="D5" s="30" t="s">
        <v>102</v>
      </c>
      <c r="E5" s="30" t="s">
        <v>103</v>
      </c>
      <c r="F5" s="30" t="s">
        <v>104</v>
      </c>
      <c r="G5" s="30" t="s">
        <v>105</v>
      </c>
      <c r="H5" s="30" t="s">
        <v>106</v>
      </c>
      <c r="I5" s="30" t="s">
        <v>107</v>
      </c>
      <c r="J5" s="30" t="s">
        <v>108</v>
      </c>
      <c r="K5" s="30" t="s">
        <v>109</v>
      </c>
      <c r="L5" s="30" t="s">
        <v>110</v>
      </c>
    </row>
    <row r="6" spans="1:12" x14ac:dyDescent="0.25">
      <c r="A6" s="70" t="s">
        <v>75</v>
      </c>
      <c r="B6" s="31" t="s">
        <v>93</v>
      </c>
      <c r="C6" s="53">
        <v>1</v>
      </c>
      <c r="D6" s="71" t="s">
        <v>111</v>
      </c>
      <c r="E6" s="44" t="s">
        <v>112</v>
      </c>
      <c r="F6" s="70" t="s">
        <v>66</v>
      </c>
      <c r="G6" s="72">
        <v>200</v>
      </c>
      <c r="H6" s="53" t="s">
        <v>113</v>
      </c>
      <c r="I6" s="73">
        <v>1</v>
      </c>
      <c r="J6" s="74">
        <f>IF($D6="무료",0,IF($D6="메뉴",0,IF($D6="프렙",IFERROR(VLOOKUP($E6,'② 프렙 원가'!$B$6:$F$6,5,FALSE),0),IFERROR(VLOOKUP($E6,'① 식재료 단가'!$B$6:$G$19,6,FALSE),0))))</f>
      </c>
      <c r="K6" s="75">
        <f>IF($D6="메뉴",ROUND($G6*$J6,1),IF($I6&gt;0,ROUND($G6/$I6*$J6,1),0))</f>
      </c>
      <c r="L6" s="54" t="s">
        <v>114</v>
      </c>
    </row>
    <row r="7" spans="1:12" x14ac:dyDescent="0.25">
      <c r="A7" s="70" t="s">
        <v>75</v>
      </c>
      <c r="B7" s="31" t="s">
        <v>93</v>
      </c>
      <c r="C7" s="53">
        <v>2</v>
      </c>
      <c r="D7" s="71" t="s">
        <v>111</v>
      </c>
      <c r="E7" s="44" t="s">
        <v>115</v>
      </c>
      <c r="F7" s="70" t="s">
        <v>66</v>
      </c>
      <c r="G7" s="72">
        <v>100</v>
      </c>
      <c r="H7" s="53" t="s">
        <v>113</v>
      </c>
      <c r="I7" s="73">
        <v>0.9</v>
      </c>
      <c r="J7" s="74">
        <f>IF($D7="무료",0,IF($D7="메뉴",0,IF($D7="프렙",IFERROR(VLOOKUP($E7,'② 프렙 원가'!$B$6:$F$6,5,FALSE),0),IFERROR(VLOOKUP($E7,'① 식재료 단가'!$B$6:$G$19,6,FALSE),0))))</f>
      </c>
      <c r="K7" s="75">
        <f>IF($D7="메뉴",ROUND($G7*$J7,1),IF($I7&gt;0,ROUND($G7/$I7*$J7,1),0))</f>
      </c>
      <c r="L7" s="54" t="s">
        <v>116</v>
      </c>
    </row>
    <row r="8" spans="1:12" x14ac:dyDescent="0.25">
      <c r="A8" s="70" t="s">
        <v>75</v>
      </c>
      <c r="B8" s="31" t="s">
        <v>93</v>
      </c>
      <c r="C8" s="53">
        <v>3</v>
      </c>
      <c r="D8" s="71" t="s">
        <v>111</v>
      </c>
      <c r="E8" s="44" t="s">
        <v>117</v>
      </c>
      <c r="F8" s="70" t="s">
        <v>66</v>
      </c>
      <c r="G8" s="72">
        <v>30</v>
      </c>
      <c r="H8" s="53" t="s">
        <v>113</v>
      </c>
      <c r="I8" s="73">
        <v>1</v>
      </c>
      <c r="J8" s="74">
        <f>IF($D8="무료",0,IF($D8="메뉴",0,IF($D8="프렙",IFERROR(VLOOKUP($E8,'② 프렙 원가'!$B$6:$F$6,5,FALSE),0),IFERROR(VLOOKUP($E8,'① 식재료 단가'!$B$6:$G$19,6,FALSE),0))))</f>
      </c>
      <c r="K8" s="75">
        <f>IF($D8="메뉴",ROUND($G8*$J8,1),IF($I8&gt;0,ROUND($G8/$I8*$J8,1),0))</f>
      </c>
      <c r="L8" s="54" t="s">
        <v>118</v>
      </c>
    </row>
    <row r="9" spans="1:12" x14ac:dyDescent="0.25">
      <c r="A9" s="70" t="s">
        <v>75</v>
      </c>
      <c r="B9" s="31" t="s">
        <v>93</v>
      </c>
      <c r="C9" s="53">
        <v>4</v>
      </c>
      <c r="D9" s="71" t="s">
        <v>111</v>
      </c>
      <c r="E9" s="44" t="s">
        <v>119</v>
      </c>
      <c r="F9" s="70" t="s">
        <v>66</v>
      </c>
      <c r="G9" s="72">
        <v>20</v>
      </c>
      <c r="H9" s="53" t="s">
        <v>113</v>
      </c>
      <c r="I9" s="73">
        <v>1</v>
      </c>
      <c r="J9" s="74">
        <f>IF($D9="무료",0,IF($D9="메뉴",0,IF($D9="프렙",IFERROR(VLOOKUP($E9,'② 프렙 원가'!$B$6:$F$6,5,FALSE),0),IFERROR(VLOOKUP($E9,'① 식재료 단가'!$B$6:$G$19,6,FALSE),0))))</f>
      </c>
      <c r="K9" s="75">
        <f>IF($D9="메뉴",ROUND($G9*$J9,1),IF($I9&gt;0,ROUND($G9/$I9*$J9,1),0))</f>
      </c>
      <c r="L9" s="54" t="s">
        <v>118</v>
      </c>
    </row>
    <row r="10" spans="1:12" x14ac:dyDescent="0.25">
      <c r="A10" s="70" t="s">
        <v>75</v>
      </c>
      <c r="B10" s="31" t="s">
        <v>93</v>
      </c>
      <c r="C10" s="53">
        <v>5</v>
      </c>
      <c r="D10" s="71" t="s">
        <v>111</v>
      </c>
      <c r="E10" s="44" t="s">
        <v>120</v>
      </c>
      <c r="F10" s="70" t="s">
        <v>66</v>
      </c>
      <c r="G10" s="72">
        <v>15</v>
      </c>
      <c r="H10" s="53" t="s">
        <v>113</v>
      </c>
      <c r="I10" s="73">
        <v>1</v>
      </c>
      <c r="J10" s="74">
        <f>IF($D10="무료",0,IF($D10="메뉴",0,IF($D10="프렙",IFERROR(VLOOKUP($E10,'② 프렙 원가'!$B$6:$F$6,5,FALSE),0),IFERROR(VLOOKUP($E10,'① 식재료 단가'!$B$6:$G$19,6,FALSE),0))))</f>
      </c>
      <c r="K10" s="75">
        <f>IF($D10="메뉴",ROUND($G10*$J10,1),IF($I10&gt;0,ROUND($G10/$I10*$J10,1),0))</f>
      </c>
      <c r="L10" s="54" t="s">
        <v>66</v>
      </c>
    </row>
    <row r="11" spans="1:12" x14ac:dyDescent="0.25">
      <c r="A11" s="70" t="s">
        <v>75</v>
      </c>
      <c r="B11" s="31" t="s">
        <v>93</v>
      </c>
      <c r="C11" s="53">
        <v>6</v>
      </c>
      <c r="D11" s="71" t="s">
        <v>111</v>
      </c>
      <c r="E11" s="44" t="s">
        <v>121</v>
      </c>
      <c r="F11" s="70" t="s">
        <v>66</v>
      </c>
      <c r="G11" s="72">
        <v>3</v>
      </c>
      <c r="H11" s="53" t="s">
        <v>113</v>
      </c>
      <c r="I11" s="73">
        <v>1</v>
      </c>
      <c r="J11" s="74">
        <f>IF($D11="무료",0,IF($D11="메뉴",0,IF($D11="프렙",IFERROR(VLOOKUP($E11,'② 프렙 원가'!$B$6:$F$6,5,FALSE),0),IFERROR(VLOOKUP($E11,'① 식재료 단가'!$B$6:$G$19,6,FALSE),0))))</f>
      </c>
      <c r="K11" s="75">
        <f>IF($D11="메뉴",ROUND($G11*$J11,1),IF($I11&gt;0,ROUND($G11/$I11*$J11,1),0))</f>
      </c>
      <c r="L11" s="54" t="s">
        <v>66</v>
      </c>
    </row>
    <row r="12" spans="1:12" x14ac:dyDescent="0.25">
      <c r="A12" s="70" t="s">
        <v>75</v>
      </c>
      <c r="B12" s="31" t="s">
        <v>93</v>
      </c>
      <c r="C12" s="53">
        <v>7</v>
      </c>
      <c r="D12" s="71" t="s">
        <v>111</v>
      </c>
      <c r="E12" s="44" t="s">
        <v>122</v>
      </c>
      <c r="F12" s="70" t="s">
        <v>66</v>
      </c>
      <c r="G12" s="72">
        <v>1</v>
      </c>
      <c r="H12" s="53" t="s">
        <v>113</v>
      </c>
      <c r="I12" s="73">
        <v>1</v>
      </c>
      <c r="J12" s="74">
        <f>IF($D12="무료",0,IF($D12="메뉴",0,IF($D12="프렙",IFERROR(VLOOKUP($E12,'② 프렙 원가'!$B$6:$F$6,5,FALSE),0),IFERROR(VLOOKUP($E12,'① 식재료 단가'!$B$6:$G$19,6,FALSE),0))))</f>
      </c>
      <c r="K12" s="75">
        <f>IF($D12="메뉴",ROUND($G12*$J12,1),IF($I12&gt;0,ROUND($G12/$I12*$J12,1),0))</f>
      </c>
      <c r="L12" s="54" t="s">
        <v>66</v>
      </c>
    </row>
    <row r="13" spans="1:12" x14ac:dyDescent="0.25">
      <c r="A13" s="70" t="s">
        <v>75</v>
      </c>
      <c r="B13" s="31" t="s">
        <v>93</v>
      </c>
      <c r="C13" s="53">
        <v>8</v>
      </c>
      <c r="D13" s="71" t="s">
        <v>111</v>
      </c>
      <c r="E13" s="44" t="s">
        <v>123</v>
      </c>
      <c r="F13" s="70" t="s">
        <v>66</v>
      </c>
      <c r="G13" s="72">
        <v>10</v>
      </c>
      <c r="H13" s="53" t="s">
        <v>113</v>
      </c>
      <c r="I13" s="73">
        <v>1</v>
      </c>
      <c r="J13" s="74">
        <f>IF($D13="무료",0,IF($D13="메뉴",0,IF($D13="프렙",IFERROR(VLOOKUP($E13,'② 프렙 원가'!$B$6:$F$6,5,FALSE),0),IFERROR(VLOOKUP($E13,'① 식재료 단가'!$B$6:$G$19,6,FALSE),0))))</f>
      </c>
      <c r="K13" s="75">
        <f>IF($D13="메뉴",ROUND($G13*$J13,1),IF($I13&gt;0,ROUND($G13/$I13*$J13,1),0))</f>
      </c>
      <c r="L13" s="54" t="s">
        <v>124</v>
      </c>
    </row>
    <row r="14" spans="1:12" x14ac:dyDescent="0.25">
      <c r="A14" s="70" t="s">
        <v>75</v>
      </c>
      <c r="B14" s="31" t="s">
        <v>93</v>
      </c>
      <c r="C14" s="53">
        <v>9</v>
      </c>
      <c r="D14" s="76" t="s">
        <v>125</v>
      </c>
      <c r="E14" s="44" t="s">
        <v>126</v>
      </c>
      <c r="F14" s="70" t="s">
        <v>66</v>
      </c>
      <c r="G14" s="72">
        <v>40</v>
      </c>
      <c r="H14" s="53" t="s">
        <v>113</v>
      </c>
      <c r="I14" s="73">
        <v>1</v>
      </c>
      <c r="J14" s="74">
        <f>IF($D14="무료",0,IF($D14="메뉴",0,IF($D14="프렙",IFERROR(VLOOKUP($E14,'② 프렙 원가'!$B$6:$F$6,5,FALSE),0),IFERROR(VLOOKUP($E14,'① 식재료 단가'!$B$6:$G$19,6,FALSE),0))))</f>
      </c>
      <c r="K14" s="75">
        <f>IF($D14="메뉴",ROUND($G14*$J14,1),IF($I14&gt;0,ROUND($G14/$I14*$J14,1),0))</f>
      </c>
      <c r="L14" s="54" t="s">
        <v>127</v>
      </c>
    </row>
    <row r="15" spans="1:12" x14ac:dyDescent="0.25">
      <c r="A15" s="77" t="s">
        <v>76</v>
      </c>
      <c r="B15" s="36" t="s">
        <v>94</v>
      </c>
      <c r="C15" s="63">
        <v>1</v>
      </c>
      <c r="D15" s="78" t="s">
        <v>111</v>
      </c>
      <c r="E15" s="49" t="s">
        <v>128</v>
      </c>
      <c r="F15" s="77" t="s">
        <v>66</v>
      </c>
      <c r="G15" s="72">
        <v>150</v>
      </c>
      <c r="H15" s="63" t="s">
        <v>113</v>
      </c>
      <c r="I15" s="73">
        <v>0.85</v>
      </c>
      <c r="J15" s="74">
        <f>IF($D15="무료",0,IF($D15="메뉴",0,IF($D15="프렙",IFERROR(VLOOKUP($E15,'② 프렙 원가'!$B$6:$F$6,5,FALSE),0),IFERROR(VLOOKUP($E15,'① 식재료 단가'!$B$6:$G$19,6,FALSE),0))))</f>
      </c>
      <c r="K15" s="75">
        <f>IF($D15="메뉴",ROUND($G15*$J15,1),IF($I15&gt;0,ROUND($G15/$I15*$J15,1),0))</f>
      </c>
      <c r="L15" s="64" t="s">
        <v>129</v>
      </c>
    </row>
    <row r="16" spans="1:12" x14ac:dyDescent="0.25">
      <c r="A16" s="77" t="s">
        <v>76</v>
      </c>
      <c r="B16" s="36" t="s">
        <v>94</v>
      </c>
      <c r="C16" s="63">
        <v>2</v>
      </c>
      <c r="D16" s="78" t="s">
        <v>111</v>
      </c>
      <c r="E16" s="49" t="s">
        <v>117</v>
      </c>
      <c r="F16" s="77" t="s">
        <v>66</v>
      </c>
      <c r="G16" s="72">
        <v>30</v>
      </c>
      <c r="H16" s="63" t="s">
        <v>113</v>
      </c>
      <c r="I16" s="73">
        <v>1</v>
      </c>
      <c r="J16" s="74">
        <f>IF($D16="무료",0,IF($D16="메뉴",0,IF($D16="프렙",IFERROR(VLOOKUP($E16,'② 프렙 원가'!$B$6:$F$6,5,FALSE),0),IFERROR(VLOOKUP($E16,'① 식재료 단가'!$B$6:$G$19,6,FALSE),0))))</f>
      </c>
      <c r="K16" s="75">
        <f>IF($D16="메뉴",ROUND($G16*$J16,1),IF($I16&gt;0,ROUND($G16/$I16*$J16,1),0))</f>
      </c>
      <c r="L16" s="64" t="s">
        <v>66</v>
      </c>
    </row>
    <row r="17" spans="1:12" x14ac:dyDescent="0.25">
      <c r="A17" s="77" t="s">
        <v>76</v>
      </c>
      <c r="B17" s="36" t="s">
        <v>94</v>
      </c>
      <c r="C17" s="63">
        <v>3</v>
      </c>
      <c r="D17" s="78" t="s">
        <v>111</v>
      </c>
      <c r="E17" s="49" t="s">
        <v>130</v>
      </c>
      <c r="F17" s="77" t="s">
        <v>66</v>
      </c>
      <c r="G17" s="72">
        <v>120</v>
      </c>
      <c r="H17" s="63" t="s">
        <v>113</v>
      </c>
      <c r="I17" s="73">
        <v>1</v>
      </c>
      <c r="J17" s="74">
        <f>IF($D17="무료",0,IF($D17="메뉴",0,IF($D17="프렙",IFERROR(VLOOKUP($E17,'② 프렙 원가'!$B$6:$F$6,5,FALSE),0),IFERROR(VLOOKUP($E17,'① 식재료 단가'!$B$6:$G$19,6,FALSE),0))))</f>
      </c>
      <c r="K17" s="75">
        <f>IF($D17="메뉴",ROUND($G17*$J17,1),IF($I17&gt;0,ROUND($G17/$I17*$J17,1),0))</f>
      </c>
      <c r="L17" s="64" t="s">
        <v>131</v>
      </c>
    </row>
    <row r="18" spans="1:12" x14ac:dyDescent="0.25">
      <c r="A18" s="77" t="s">
        <v>76</v>
      </c>
      <c r="B18" s="36" t="s">
        <v>94</v>
      </c>
      <c r="C18" s="63">
        <v>4</v>
      </c>
      <c r="D18" s="78" t="s">
        <v>111</v>
      </c>
      <c r="E18" s="49" t="s">
        <v>132</v>
      </c>
      <c r="F18" s="77" t="s">
        <v>66</v>
      </c>
      <c r="G18" s="72">
        <v>10</v>
      </c>
      <c r="H18" s="63" t="s">
        <v>113</v>
      </c>
      <c r="I18" s="73">
        <v>1</v>
      </c>
      <c r="J18" s="74">
        <f>IF($D18="무료",0,IF($D18="메뉴",0,IF($D18="프렙",IFERROR(VLOOKUP($E18,'② 프렙 원가'!$B$6:$F$6,5,FALSE),0),IFERROR(VLOOKUP($E18,'① 식재료 단가'!$B$6:$G$19,6,FALSE),0))))</f>
      </c>
      <c r="K18" s="75">
        <f>IF($D18="메뉴",ROUND($G18*$J18,1),IF($I18&gt;0,ROUND($G18/$I18*$J18,1),0))</f>
      </c>
      <c r="L18" s="64" t="s">
        <v>66</v>
      </c>
    </row>
    <row r="19" spans="1:12" x14ac:dyDescent="0.25">
      <c r="A19" s="77" t="s">
        <v>76</v>
      </c>
      <c r="B19" s="36" t="s">
        <v>94</v>
      </c>
      <c r="C19" s="63">
        <v>5</v>
      </c>
      <c r="D19" s="78" t="s">
        <v>111</v>
      </c>
      <c r="E19" s="49" t="s">
        <v>121</v>
      </c>
      <c r="F19" s="77" t="s">
        <v>66</v>
      </c>
      <c r="G19" s="72">
        <v>3</v>
      </c>
      <c r="H19" s="63" t="s">
        <v>113</v>
      </c>
      <c r="I19" s="73">
        <v>1</v>
      </c>
      <c r="J19" s="74">
        <f>IF($D19="무료",0,IF($D19="메뉴",0,IF($D19="프렙",IFERROR(VLOOKUP($E19,'② 프렙 원가'!$B$6:$F$6,5,FALSE),0),IFERROR(VLOOKUP($E19,'① 식재료 단가'!$B$6:$G$19,6,FALSE),0))))</f>
      </c>
      <c r="K19" s="75">
        <f>IF($D19="메뉴",ROUND($G19*$J19,1),IF($I19&gt;0,ROUND($G19/$I19*$J19,1),0))</f>
      </c>
      <c r="L19" s="64" t="s">
        <v>66</v>
      </c>
    </row>
    <row r="20" spans="1:12" x14ac:dyDescent="0.25">
      <c r="A20" s="77" t="s">
        <v>76</v>
      </c>
      <c r="B20" s="36" t="s">
        <v>94</v>
      </c>
      <c r="C20" s="63">
        <v>6</v>
      </c>
      <c r="D20" s="79" t="s">
        <v>133</v>
      </c>
      <c r="E20" s="49" t="s">
        <v>134</v>
      </c>
      <c r="F20" s="77" t="s">
        <v>66</v>
      </c>
      <c r="G20" s="72">
        <v>100</v>
      </c>
      <c r="H20" s="63" t="s">
        <v>113</v>
      </c>
      <c r="I20" s="73">
        <v>1</v>
      </c>
      <c r="J20" s="74">
        <f>IF($D20="무료",0,IF($D20="메뉴",0,IF($D20="프렙",IFERROR(VLOOKUP($E20,'② 프렙 원가'!$B$6:$F$6,5,FALSE),0),IFERROR(VLOOKUP($E20,'① 식재료 단가'!$B$6:$G$19,6,FALSE),0))))</f>
      </c>
      <c r="K20" s="75">
        <f>IF($D20="메뉴",ROUND($G20*$J20,1),IF($I20&gt;0,ROUND($G20/$I20*$J20,1),0))</f>
      </c>
      <c r="L20" s="64" t="s">
        <v>135</v>
      </c>
    </row>
    <row r="21" spans="1:12" x14ac:dyDescent="0.25">
      <c r="A21" s="70" t="s">
        <v>77</v>
      </c>
      <c r="B21" s="31" t="s">
        <v>95</v>
      </c>
      <c r="C21" s="53">
        <v>1</v>
      </c>
      <c r="D21" s="71" t="s">
        <v>111</v>
      </c>
      <c r="E21" s="44" t="s">
        <v>136</v>
      </c>
      <c r="F21" s="70" t="s">
        <v>66</v>
      </c>
      <c r="G21" s="72">
        <v>1</v>
      </c>
      <c r="H21" s="53" t="s">
        <v>137</v>
      </c>
      <c r="I21" s="73">
        <v>1</v>
      </c>
      <c r="J21" s="74">
        <f>IF($D21="무료",0,IF($D21="메뉴",0,IF($D21="프렙",IFERROR(VLOOKUP($E21,'② 프렙 원가'!$B$6:$F$6,5,FALSE),0),IFERROR(VLOOKUP($E21,'① 식재료 단가'!$B$6:$G$19,6,FALSE),0))))</f>
      </c>
      <c r="K21" s="75">
        <f>IF($D21="메뉴",ROUND($G21*$J21,1),IF($I21&gt;0,ROUND($G21/$I21*$J21,1),0))</f>
      </c>
      <c r="L21" s="54" t="s">
        <v>138</v>
      </c>
    </row>
    <row r="22" spans="1:12" x14ac:dyDescent="0.25">
      <c r="A22" s="77" t="s">
        <v>78</v>
      </c>
      <c r="B22" s="36" t="s">
        <v>96</v>
      </c>
      <c r="C22" s="63">
        <v>1</v>
      </c>
      <c r="D22" s="80" t="s">
        <v>139</v>
      </c>
      <c r="E22" s="49" t="s">
        <v>93</v>
      </c>
      <c r="F22" s="77" t="s">
        <v>66</v>
      </c>
      <c r="G22" s="72">
        <v>1</v>
      </c>
      <c r="H22" s="63" t="s">
        <v>137</v>
      </c>
      <c r="I22" s="73">
        <v>1</v>
      </c>
      <c r="J22" s="74">
        <f>IF($D22="무료",0,IF($D22="메뉴",IFERROR(VLOOKUP($E22,'④ 메뉴 원가표'!$C$6:$F$8,4,FALSE),0),IF($D22="프렙",IFERROR(VLOOKUP($E22,'② 프렙 원가'!$B$6:$F$6,5,FALSE),0),IFERROR(VLOOKUP($E22,'① 식재료 단가'!$B$6:$G$19,6,FALSE),0))))</f>
      </c>
      <c r="K22" s="75">
        <f>IF($D22="메뉴",ROUND($G22*$J22,1),IF($I22&gt;0,ROUND($G22/$I22*$J22,1),0))</f>
      </c>
      <c r="L22" s="64" t="s">
        <v>140</v>
      </c>
    </row>
    <row r="23" spans="1:12" x14ac:dyDescent="0.25">
      <c r="A23" s="77" t="s">
        <v>78</v>
      </c>
      <c r="B23" s="36" t="s">
        <v>96</v>
      </c>
      <c r="C23" s="63">
        <v>2</v>
      </c>
      <c r="D23" s="80" t="s">
        <v>139</v>
      </c>
      <c r="E23" s="49" t="s">
        <v>94</v>
      </c>
      <c r="F23" s="77" t="s">
        <v>66</v>
      </c>
      <c r="G23" s="72">
        <v>1</v>
      </c>
      <c r="H23" s="63" t="s">
        <v>137</v>
      </c>
      <c r="I23" s="73">
        <v>1</v>
      </c>
      <c r="J23" s="74">
        <f>IF($D23="무료",0,IF($D23="메뉴",IFERROR(VLOOKUP($E23,'④ 메뉴 원가표'!$C$6:$F$8,4,FALSE),0),IF($D23="프렙",IFERROR(VLOOKUP($E23,'② 프렙 원가'!$B$6:$F$6,5,FALSE),0),IFERROR(VLOOKUP($E23,'① 식재료 단가'!$B$6:$G$19,6,FALSE),0))))</f>
      </c>
      <c r="K23" s="75">
        <f>IF($D23="메뉴",ROUND($G23*$J23,1),IF($I23&gt;0,ROUND($G23/$I23*$J23,1),0))</f>
      </c>
      <c r="L23" s="64" t="s">
        <v>140</v>
      </c>
    </row>
  </sheetData>
  <autoFilter ref="A5:L23"/>
  <mergeCells count="3">
    <mergeCell ref="A1:L1"/>
    <mergeCell ref="A2:L2"/>
    <mergeCell ref="A3:L3"/>
  </mergeCells>
  <dataValidations count="2">
    <dataValidation type="list" showErrorMessage="1" errorTitle="입력 오류" error="식재료 / 프렙 / 메뉴 / 무료 중에서 선택하세요." sqref="D10:D23">
      <formula1>"식재료,프렙,메뉴,무료"</formula1>
    </dataValidation>
    <dataValidation type="list" showErrorMessage="1" errorTitle="입력 오류" error="식재료 / 프렙 / 메뉴 / 무료 중에서 선택하세요." sqref="D6:D23">
      <formula1>"식재료,프렙,메뉴,무료"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>
      <pane ySplit="5" topLeftCell="A6" activePane="bottomLeft" state="frozen"/>
      <selection pane="bottomLeft"/>
    </sheetView>
  </sheetViews>
  <sheetFormatPr defaultRowHeight="19" outlineLevelRow="0" outlineLevelCol="0" x14ac:dyDescent="55" customHeight="1"/>
  <cols>
    <col min="1" max="1" width="6" customWidth="1"/>
    <col min="2" max="2" width="34" customWidth="1"/>
    <col min="3" max="3" width="14" customWidth="1"/>
    <col min="4" max="4" width="10" customWidth="1"/>
    <col min="5" max="5" width="8" customWidth="1"/>
    <col min="6" max="6" width="12" customWidth="1"/>
    <col min="7" max="7" width="13" customWidth="1"/>
    <col min="8" max="8" width="30" customWidth="1"/>
  </cols>
  <sheetData>
    <row r="1" ht="34" customHeight="1" spans="1:8" x14ac:dyDescent="0.25">
      <c r="A1" s="1" t="s">
        <v>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141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52" t="s">
        <v>142</v>
      </c>
      <c r="B3" s="52"/>
      <c r="C3" s="52"/>
      <c r="D3" s="52"/>
      <c r="E3" s="52"/>
      <c r="F3" s="52"/>
      <c r="G3" s="52"/>
      <c r="H3" s="52"/>
    </row>
    <row r="5" ht="26" customHeight="1" spans="1:8" x14ac:dyDescent="0.25">
      <c r="A5" s="30" t="s">
        <v>86</v>
      </c>
      <c r="B5" s="30" t="s">
        <v>143</v>
      </c>
      <c r="C5" s="30" t="s">
        <v>144</v>
      </c>
      <c r="D5" s="30" t="s">
        <v>145</v>
      </c>
      <c r="E5" s="30" t="s">
        <v>106</v>
      </c>
      <c r="F5" s="30" t="s">
        <v>146</v>
      </c>
      <c r="G5" s="30" t="s">
        <v>147</v>
      </c>
      <c r="H5" s="30" t="s">
        <v>110</v>
      </c>
    </row>
    <row r="6" spans="1:8" x14ac:dyDescent="0.25">
      <c r="A6" s="53">
        <v>1</v>
      </c>
      <c r="B6" s="44" t="s">
        <v>115</v>
      </c>
      <c r="C6" s="55">
        <v>12000</v>
      </c>
      <c r="D6" s="81">
        <v>1</v>
      </c>
      <c r="E6" s="53" t="s">
        <v>148</v>
      </c>
      <c r="F6" s="55">
        <v>1000</v>
      </c>
      <c r="G6" s="82">
        <f>IF(F6&gt;0,C6/F6,0)</f>
      </c>
      <c r="H6" s="83" t="s">
        <v>66</v>
      </c>
    </row>
    <row r="7" spans="1:8" x14ac:dyDescent="0.25">
      <c r="A7" s="63">
        <v>2</v>
      </c>
      <c r="B7" s="49" t="s">
        <v>112</v>
      </c>
      <c r="C7" s="55">
        <v>62000</v>
      </c>
      <c r="D7" s="81">
        <v>20</v>
      </c>
      <c r="E7" s="63" t="s">
        <v>148</v>
      </c>
      <c r="F7" s="55">
        <v>20000</v>
      </c>
      <c r="G7" s="82">
        <f>IF(F7&gt;0,C7/F7,0)</f>
      </c>
      <c r="H7" s="84" t="s">
        <v>66</v>
      </c>
    </row>
    <row r="8" spans="1:8" x14ac:dyDescent="0.25">
      <c r="A8" s="53">
        <v>3</v>
      </c>
      <c r="B8" s="44" t="s">
        <v>117</v>
      </c>
      <c r="C8" s="55">
        <v>14000</v>
      </c>
      <c r="D8" s="81">
        <v>15</v>
      </c>
      <c r="E8" s="53" t="s">
        <v>148</v>
      </c>
      <c r="F8" s="55">
        <v>15000</v>
      </c>
      <c r="G8" s="82">
        <f>IF(F8&gt;0,C8/F8,0)</f>
      </c>
      <c r="H8" s="83" t="s">
        <v>66</v>
      </c>
    </row>
    <row r="9" spans="1:8" x14ac:dyDescent="0.25">
      <c r="A9" s="63">
        <v>4</v>
      </c>
      <c r="B9" s="49" t="s">
        <v>119</v>
      </c>
      <c r="C9" s="55">
        <v>16500</v>
      </c>
      <c r="D9" s="81">
        <v>3</v>
      </c>
      <c r="E9" s="63" t="s">
        <v>148</v>
      </c>
      <c r="F9" s="55">
        <v>3000</v>
      </c>
      <c r="G9" s="82">
        <f>IF(F9&gt;0,C9/F9,0)</f>
      </c>
      <c r="H9" s="84" t="s">
        <v>66</v>
      </c>
    </row>
    <row r="10" spans="1:8" x14ac:dyDescent="0.25">
      <c r="A10" s="53">
        <v>5</v>
      </c>
      <c r="B10" s="44" t="s">
        <v>128</v>
      </c>
      <c r="C10" s="55">
        <v>35000</v>
      </c>
      <c r="D10" s="81">
        <v>20</v>
      </c>
      <c r="E10" s="53" t="s">
        <v>148</v>
      </c>
      <c r="F10" s="55">
        <v>20000</v>
      </c>
      <c r="G10" s="82">
        <f>IF(F10&gt;0,C10/F10,0)</f>
      </c>
      <c r="H10" s="83" t="s">
        <v>66</v>
      </c>
    </row>
    <row r="11" spans="1:8" x14ac:dyDescent="0.25">
      <c r="A11" s="63">
        <v>6</v>
      </c>
      <c r="B11" s="49" t="s">
        <v>130</v>
      </c>
      <c r="C11" s="55">
        <v>1650</v>
      </c>
      <c r="D11" s="81">
        <v>1</v>
      </c>
      <c r="E11" s="63" t="s">
        <v>149</v>
      </c>
      <c r="F11" s="55">
        <v>1000</v>
      </c>
      <c r="G11" s="82">
        <f>IF(F11&gt;0,C11/F11,0)</f>
      </c>
      <c r="H11" s="84" t="s">
        <v>66</v>
      </c>
    </row>
    <row r="12" spans="1:8" x14ac:dyDescent="0.25">
      <c r="A12" s="53">
        <v>7</v>
      </c>
      <c r="B12" s="44" t="s">
        <v>132</v>
      </c>
      <c r="C12" s="55">
        <v>14500</v>
      </c>
      <c r="D12" s="81">
        <v>13.1</v>
      </c>
      <c r="E12" s="53" t="s">
        <v>148</v>
      </c>
      <c r="F12" s="55">
        <v>13100</v>
      </c>
      <c r="G12" s="82">
        <f>IF(F12&gt;0,C12/F12,0)</f>
      </c>
      <c r="H12" s="83" t="s">
        <v>66</v>
      </c>
    </row>
    <row r="13" spans="1:8" x14ac:dyDescent="0.25">
      <c r="A13" s="63">
        <v>8</v>
      </c>
      <c r="B13" s="49" t="s">
        <v>120</v>
      </c>
      <c r="C13" s="55">
        <v>49500</v>
      </c>
      <c r="D13" s="81">
        <v>18</v>
      </c>
      <c r="E13" s="63" t="s">
        <v>149</v>
      </c>
      <c r="F13" s="55">
        <v>18000</v>
      </c>
      <c r="G13" s="82">
        <f>IF(F13&gt;0,C13/F13,0)</f>
      </c>
      <c r="H13" s="84" t="s">
        <v>66</v>
      </c>
    </row>
    <row r="14" spans="1:8" x14ac:dyDescent="0.25">
      <c r="A14" s="53">
        <v>9</v>
      </c>
      <c r="B14" s="44" t="s">
        <v>150</v>
      </c>
      <c r="C14" s="55">
        <v>5500</v>
      </c>
      <c r="D14" s="81">
        <v>1.8</v>
      </c>
      <c r="E14" s="53" t="s">
        <v>149</v>
      </c>
      <c r="F14" s="55">
        <v>1800</v>
      </c>
      <c r="G14" s="82">
        <f>IF(F14&gt;0,C14/F14,0)</f>
      </c>
      <c r="H14" s="83" t="s">
        <v>66</v>
      </c>
    </row>
    <row r="15" spans="1:8" x14ac:dyDescent="0.25">
      <c r="A15" s="63">
        <v>10</v>
      </c>
      <c r="B15" s="49" t="s">
        <v>121</v>
      </c>
      <c r="C15" s="55">
        <v>15000</v>
      </c>
      <c r="D15" s="81">
        <v>15</v>
      </c>
      <c r="E15" s="63" t="s">
        <v>148</v>
      </c>
      <c r="F15" s="55">
        <v>15000</v>
      </c>
      <c r="G15" s="82">
        <f>IF(F15&gt;0,C15/F15,0)</f>
      </c>
      <c r="H15" s="84" t="s">
        <v>66</v>
      </c>
    </row>
    <row r="16" spans="1:8" x14ac:dyDescent="0.25">
      <c r="A16" s="53">
        <v>11</v>
      </c>
      <c r="B16" s="44" t="s">
        <v>122</v>
      </c>
      <c r="C16" s="55">
        <v>9000</v>
      </c>
      <c r="D16" s="81">
        <v>0.4</v>
      </c>
      <c r="E16" s="53" t="s">
        <v>148</v>
      </c>
      <c r="F16" s="55">
        <v>400</v>
      </c>
      <c r="G16" s="82">
        <f>IF(F16&gt;0,C16/F16,0)</f>
      </c>
      <c r="H16" s="83" t="s">
        <v>66</v>
      </c>
    </row>
    <row r="17" spans="1:8" x14ac:dyDescent="0.25">
      <c r="A17" s="63">
        <v>12</v>
      </c>
      <c r="B17" s="49" t="s">
        <v>123</v>
      </c>
      <c r="C17" s="55">
        <v>4980</v>
      </c>
      <c r="D17" s="81">
        <v>0.5</v>
      </c>
      <c r="E17" s="63" t="s">
        <v>148</v>
      </c>
      <c r="F17" s="55">
        <v>500</v>
      </c>
      <c r="G17" s="82">
        <f>IF(F17&gt;0,C17/F17,0)</f>
      </c>
      <c r="H17" s="84" t="s">
        <v>66</v>
      </c>
    </row>
    <row r="18" spans="1:8" x14ac:dyDescent="0.25">
      <c r="A18" s="53">
        <v>13</v>
      </c>
      <c r="B18" s="44" t="s">
        <v>136</v>
      </c>
      <c r="C18" s="55">
        <v>21000</v>
      </c>
      <c r="D18" s="81">
        <v>24</v>
      </c>
      <c r="E18" s="53" t="s">
        <v>137</v>
      </c>
      <c r="F18" s="55">
        <v>0</v>
      </c>
      <c r="G18" s="82">
        <f>IF(D18&gt;0,C18/D18,0)</f>
      </c>
      <c r="H18" s="83" t="s">
        <v>151</v>
      </c>
    </row>
    <row r="19" spans="1:8" x14ac:dyDescent="0.25">
      <c r="A19" s="63">
        <v>14</v>
      </c>
      <c r="B19" s="49" t="s">
        <v>152</v>
      </c>
      <c r="C19" s="55">
        <v>60000</v>
      </c>
      <c r="D19" s="81">
        <v>500</v>
      </c>
      <c r="E19" s="63" t="s">
        <v>137</v>
      </c>
      <c r="F19" s="55">
        <v>0</v>
      </c>
      <c r="G19" s="82">
        <f>IF(D19&gt;0,C19/D19,0)</f>
      </c>
      <c r="H19" s="84" t="s">
        <v>151</v>
      </c>
    </row>
  </sheetData>
  <autoFilter ref="A5:H19"/>
  <mergeCells count="3">
    <mergeCell ref="A1:H1"/>
    <mergeCell ref="A2:H2"/>
    <mergeCell ref="A3:H3"/>
  </mergeCells>
  <pageMargins left="0.3" right="0.3" top="0.4" bottom="0.4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showGridLines="0">
      <pane ySplit="5" topLeftCell="A6" activePane="bottomLeft" state="frozen"/>
      <selection pane="bottomLeft"/>
    </sheetView>
  </sheetViews>
  <sheetFormatPr defaultRowHeight="19" outlineLevelRow="0" outlineLevelCol="0" x14ac:dyDescent="55" customHeight="1"/>
  <cols>
    <col min="1" max="1" width="6" customWidth="1"/>
    <col min="2" max="2" width="24" customWidth="1"/>
    <col min="3" max="3" width="13" customWidth="1"/>
    <col min="4" max="4" width="10" customWidth="1"/>
    <col min="5" max="5" width="13" customWidth="1"/>
    <col min="6" max="6" width="14" customWidth="1"/>
    <col min="7" max="7" width="13" customWidth="1"/>
    <col min="8" max="8" width="26" customWidth="1"/>
  </cols>
  <sheetData>
    <row r="1" ht="34" customHeight="1" spans="1:8" x14ac:dyDescent="0.25">
      <c r="A1" s="1" t="s">
        <v>153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154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52" t="s">
        <v>155</v>
      </c>
      <c r="B3" s="52"/>
      <c r="C3" s="52"/>
      <c r="D3" s="52"/>
      <c r="E3" s="52"/>
      <c r="F3" s="52"/>
      <c r="G3" s="52"/>
      <c r="H3" s="52"/>
    </row>
    <row r="5" ht="26" customHeight="1" spans="1:8" x14ac:dyDescent="0.25">
      <c r="A5" s="30" t="s">
        <v>86</v>
      </c>
      <c r="B5" s="30" t="s">
        <v>156</v>
      </c>
      <c r="C5" s="30" t="s">
        <v>157</v>
      </c>
      <c r="D5" s="30" t="s">
        <v>107</v>
      </c>
      <c r="E5" s="30" t="s">
        <v>158</v>
      </c>
      <c r="F5" s="30" t="s">
        <v>159</v>
      </c>
      <c r="G5" s="30" t="s">
        <v>160</v>
      </c>
      <c r="H5" s="30" t="s">
        <v>110</v>
      </c>
    </row>
    <row r="6" spans="1:8" x14ac:dyDescent="0.25">
      <c r="A6" s="53">
        <v>1</v>
      </c>
      <c r="B6" s="44" t="s">
        <v>126</v>
      </c>
      <c r="C6" s="55">
        <v>1200</v>
      </c>
      <c r="D6" s="73">
        <v>0.8</v>
      </c>
      <c r="E6" s="57">
        <f>SUMIF($A$11:$A$14,$B6,$F$11:$F$14)</f>
      </c>
      <c r="F6" s="82">
        <f>IF(C6&gt;0,E6/C6,0)</f>
      </c>
      <c r="G6" s="57">
        <f>SUMIF($A$11:$A$14,$B6,$D$11:$D$14)</f>
      </c>
      <c r="H6" s="44" t="s">
        <v>66</v>
      </c>
    </row>
    <row r="8" ht="24" customHeight="1" spans="1:8" x14ac:dyDescent="0.25">
      <c r="A8" s="3" t="s">
        <v>161</v>
      </c>
      <c r="B8" s="3"/>
      <c r="C8" s="3"/>
      <c r="D8" s="3"/>
      <c r="E8" s="3"/>
      <c r="F8" s="3"/>
      <c r="G8" s="3"/>
      <c r="H8" s="3"/>
    </row>
    <row r="10" ht="26" customHeight="1" spans="1:8" x14ac:dyDescent="0.25">
      <c r="A10" s="30" t="s">
        <v>156</v>
      </c>
      <c r="B10" s="30" t="s">
        <v>102</v>
      </c>
      <c r="C10" s="30" t="s">
        <v>162</v>
      </c>
      <c r="D10" s="30" t="s">
        <v>163</v>
      </c>
      <c r="E10" s="30" t="s">
        <v>108</v>
      </c>
      <c r="F10" s="30" t="s">
        <v>109</v>
      </c>
      <c r="G10" s="30" t="s">
        <v>66</v>
      </c>
      <c r="H10" s="30" t="s">
        <v>66</v>
      </c>
    </row>
    <row r="11" spans="1:6" x14ac:dyDescent="0.25">
      <c r="A11" s="44" t="s">
        <v>126</v>
      </c>
      <c r="B11" s="53" t="s">
        <v>111</v>
      </c>
      <c r="C11" s="44" t="s">
        <v>117</v>
      </c>
      <c r="D11" s="55">
        <v>1000</v>
      </c>
      <c r="E11" s="74">
        <f>IFERROR(VLOOKUP($C11,'① 식재료 단가'!$B$6:$G$19,6,FALSE),0)</f>
      </c>
      <c r="F11" s="57">
        <f>ROUND($D11*$E11,2)</f>
      </c>
    </row>
    <row r="12" spans="1:6" x14ac:dyDescent="0.25">
      <c r="A12" s="44" t="s">
        <v>126</v>
      </c>
      <c r="B12" s="53" t="s">
        <v>111</v>
      </c>
      <c r="C12" s="44" t="s">
        <v>150</v>
      </c>
      <c r="D12" s="55">
        <v>300</v>
      </c>
      <c r="E12" s="74">
        <f>IFERROR(VLOOKUP($C12,'① 식재료 단가'!$B$6:$G$19,6,FALSE),0)</f>
      </c>
      <c r="F12" s="57">
        <f>ROUND($D12*$E12,2)</f>
      </c>
    </row>
    <row r="13" spans="1:6" x14ac:dyDescent="0.25">
      <c r="A13" s="44" t="s">
        <v>126</v>
      </c>
      <c r="B13" s="53" t="s">
        <v>111</v>
      </c>
      <c r="C13" s="44" t="s">
        <v>120</v>
      </c>
      <c r="D13" s="55">
        <v>200</v>
      </c>
      <c r="E13" s="74">
        <f>IFERROR(VLOOKUP($C13,'① 식재료 단가'!$B$6:$G$19,6,FALSE),0)</f>
      </c>
      <c r="F13" s="57">
        <f>ROUND($D13*$E13,2)</f>
      </c>
    </row>
    <row r="14" spans="1:6" x14ac:dyDescent="0.25">
      <c r="A14" s="44" t="s">
        <v>126</v>
      </c>
      <c r="B14" s="53" t="s">
        <v>111</v>
      </c>
      <c r="C14" s="44" t="s">
        <v>121</v>
      </c>
      <c r="D14" s="55">
        <v>50</v>
      </c>
      <c r="E14" s="74">
        <f>IFERROR(VLOOKUP($C14,'① 식재료 단가'!$B$6:$G$19,6,FALSE),0)</f>
      </c>
      <c r="F14" s="57">
        <f>ROUND($D14*$E14,2)</f>
      </c>
    </row>
  </sheetData>
  <autoFilter ref="A10:F14"/>
  <mergeCells count="4">
    <mergeCell ref="A1:H1"/>
    <mergeCell ref="A2:H2"/>
    <mergeCell ref="A3:H3"/>
    <mergeCell ref="A8:H8"/>
  </mergeCells>
  <pageMargins left="0.3" right="0.3" top="0.4" bottom="0.4" header="0.2" footer="0.2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workbookViewId="0" showGridLines="0"/>
  </sheetViews>
  <sheetFormatPr defaultRowHeight="19" outlineLevelRow="0" outlineLevelCol="0" x14ac:dyDescent="55" customHeight="1"/>
  <cols>
    <col min="1" max="1" width="6" customWidth="1"/>
    <col min="2" max="2" width="26" customWidth="1"/>
    <col min="3" max="3" width="16" customWidth="1"/>
    <col min="4" max="4" width="14" customWidth="1"/>
    <col min="5" max="5" width="62" customWidth="1"/>
  </cols>
  <sheetData>
    <row r="1" ht="34" customHeight="1" spans="1:5" x14ac:dyDescent="0.25">
      <c r="A1" s="1" t="s">
        <v>7</v>
      </c>
      <c r="B1" s="1"/>
      <c r="C1" s="1"/>
      <c r="D1" s="1"/>
      <c r="E1" s="1"/>
    </row>
    <row r="2" ht="22" customHeight="1" spans="1:5" x14ac:dyDescent="0.25">
      <c r="A2" s="2" t="s">
        <v>164</v>
      </c>
      <c r="B2" s="2"/>
      <c r="C2" s="2"/>
      <c r="D2" s="2"/>
      <c r="E2" s="2"/>
    </row>
    <row r="3" ht="22" customHeight="1" spans="1:5" x14ac:dyDescent="0.25">
      <c r="A3" s="52" t="s">
        <v>165</v>
      </c>
      <c r="B3" s="52"/>
      <c r="C3" s="52"/>
      <c r="D3" s="52"/>
      <c r="E3" s="52"/>
    </row>
    <row r="5" ht="26" customHeight="1" spans="1:5" x14ac:dyDescent="0.25">
      <c r="A5" s="30" t="s">
        <v>86</v>
      </c>
      <c r="B5" s="30" t="s">
        <v>166</v>
      </c>
      <c r="C5" s="30" t="s">
        <v>167</v>
      </c>
      <c r="D5" s="30" t="s">
        <v>168</v>
      </c>
      <c r="E5" s="30" t="s">
        <v>169</v>
      </c>
    </row>
    <row r="6" spans="1:5" x14ac:dyDescent="0.25">
      <c r="A6" s="53">
        <v>1</v>
      </c>
      <c r="B6" s="44" t="s">
        <v>170</v>
      </c>
      <c r="C6" s="55">
        <v>8000000</v>
      </c>
      <c r="D6" s="85" t="s">
        <v>171</v>
      </c>
      <c r="E6" s="54" t="s">
        <v>172</v>
      </c>
    </row>
    <row r="7" spans="1:5" x14ac:dyDescent="0.25">
      <c r="A7" s="63">
        <v>2</v>
      </c>
      <c r="B7" s="49" t="s">
        <v>173</v>
      </c>
      <c r="C7" s="55">
        <v>3000000</v>
      </c>
      <c r="D7" s="85" t="s">
        <v>171</v>
      </c>
      <c r="E7" s="64" t="s">
        <v>174</v>
      </c>
    </row>
    <row r="8" spans="1:5" x14ac:dyDescent="0.25">
      <c r="A8" s="53">
        <v>3</v>
      </c>
      <c r="B8" s="44" t="s">
        <v>175</v>
      </c>
      <c r="C8" s="55">
        <v>800000</v>
      </c>
      <c r="D8" s="85" t="s">
        <v>171</v>
      </c>
      <c r="E8" s="54" t="s">
        <v>176</v>
      </c>
    </row>
    <row r="9" spans="1:5" x14ac:dyDescent="0.25">
      <c r="A9" s="63">
        <v>4</v>
      </c>
      <c r="B9" s="49" t="s">
        <v>177</v>
      </c>
      <c r="C9" s="55">
        <v>1500000</v>
      </c>
      <c r="D9" s="85" t="s">
        <v>171</v>
      </c>
      <c r="E9" s="64" t="s">
        <v>178</v>
      </c>
    </row>
    <row r="10" spans="1:5" x14ac:dyDescent="0.25">
      <c r="A10" s="53">
        <v>5</v>
      </c>
      <c r="B10" s="44" t="s">
        <v>179</v>
      </c>
      <c r="C10" s="55">
        <v>6000000</v>
      </c>
      <c r="D10" s="85" t="s">
        <v>180</v>
      </c>
      <c r="E10" s="83" t="s">
        <v>181</v>
      </c>
    </row>
    <row r="11" spans="1:5" x14ac:dyDescent="0.25">
      <c r="A11" s="86" t="s">
        <v>182</v>
      </c>
      <c r="B11" s="86"/>
      <c r="C11" s="87">
        <f>SUM(C6:C10)</f>
      </c>
      <c r="D11" s="88"/>
      <c r="E11" s="89" t="s">
        <v>183</v>
      </c>
    </row>
    <row r="12" spans="1:5" x14ac:dyDescent="0.25">
      <c r="A12" s="86" t="s">
        <v>184</v>
      </c>
      <c r="B12" s="86"/>
      <c r="C12" s="87">
        <f>SUMIF(D6:D10,"포함",C6:C10)</f>
      </c>
      <c r="D12" s="88"/>
      <c r="E12" s="89" t="s">
        <v>185</v>
      </c>
    </row>
    <row r="14" ht="24" customHeight="1" spans="1:5" x14ac:dyDescent="0.25">
      <c r="A14" s="3" t="s">
        <v>186</v>
      </c>
      <c r="B14" s="3"/>
      <c r="C14" s="3"/>
      <c r="D14" s="3"/>
      <c r="E14" s="3"/>
    </row>
    <row r="15" spans="1:5" x14ac:dyDescent="0.25">
      <c r="A15" s="90" t="s">
        <v>187</v>
      </c>
      <c r="B15" s="90"/>
      <c r="C15" s="85" t="s">
        <v>171</v>
      </c>
      <c r="D15" s="44"/>
      <c r="E15" s="54" t="s">
        <v>188</v>
      </c>
    </row>
    <row r="16" spans="1:5" x14ac:dyDescent="0.25">
      <c r="A16" s="90" t="s">
        <v>189</v>
      </c>
      <c r="B16" s="90"/>
      <c r="C16" s="73">
        <v>0.1</v>
      </c>
      <c r="D16" s="44"/>
      <c r="E16" s="54" t="s">
        <v>190</v>
      </c>
    </row>
    <row r="17" spans="1:5" x14ac:dyDescent="0.25">
      <c r="A17" s="90" t="s">
        <v>191</v>
      </c>
      <c r="B17" s="90"/>
      <c r="C17" s="91">
        <f>IF(C15="포함",1+C16,1)</f>
      </c>
      <c r="D17" s="44"/>
      <c r="E17" s="54" t="s">
        <v>192</v>
      </c>
    </row>
    <row r="18" spans="1:5" x14ac:dyDescent="0.25">
      <c r="A18" s="90" t="s">
        <v>193</v>
      </c>
      <c r="B18" s="90"/>
      <c r="C18" s="55">
        <v>30000000</v>
      </c>
      <c r="D18" s="44"/>
      <c r="E18" s="54" t="s">
        <v>194</v>
      </c>
    </row>
    <row r="19" spans="1:5" x14ac:dyDescent="0.25">
      <c r="A19" s="90" t="s">
        <v>195</v>
      </c>
      <c r="B19" s="90"/>
      <c r="C19" s="57">
        <f>ROUND(C18/C17,0)</f>
      </c>
      <c r="D19" s="44"/>
      <c r="E19" s="54" t="s">
        <v>196</v>
      </c>
    </row>
    <row r="20" spans="1:5" x14ac:dyDescent="0.25">
      <c r="A20" s="90" t="s">
        <v>62</v>
      </c>
      <c r="B20" s="90"/>
      <c r="C20" s="59">
        <f>IF(C19&gt;0,C12/C19,0)</f>
      </c>
      <c r="D20" s="44"/>
      <c r="E20" s="54" t="s">
        <v>197</v>
      </c>
    </row>
    <row r="21" spans="1:5" x14ac:dyDescent="0.25">
      <c r="A21" s="90" t="s">
        <v>198</v>
      </c>
      <c r="B21" s="90"/>
      <c r="C21" s="73">
        <v>0.3</v>
      </c>
      <c r="D21" s="44"/>
      <c r="E21" s="54" t="s">
        <v>199</v>
      </c>
    </row>
    <row r="22" spans="1:5" x14ac:dyDescent="0.25">
      <c r="A22" s="90" t="s">
        <v>200</v>
      </c>
      <c r="B22" s="90"/>
      <c r="C22" s="73">
        <v>0.38</v>
      </c>
      <c r="D22" s="44"/>
      <c r="E22" s="54" t="s">
        <v>201</v>
      </c>
    </row>
  </sheetData>
  <mergeCells count="14">
    <mergeCell ref="A1:E1"/>
    <mergeCell ref="A2:E2"/>
    <mergeCell ref="A3:E3"/>
    <mergeCell ref="A11:B11"/>
    <mergeCell ref="A12:B12"/>
    <mergeCell ref="A14:E14"/>
    <mergeCell ref="A15:B15"/>
    <mergeCell ref="A16:B16"/>
    <mergeCell ref="A17:B17"/>
    <mergeCell ref="A18:B18"/>
    <mergeCell ref="A19:B19"/>
    <mergeCell ref="A20:B20"/>
    <mergeCell ref="A21:B21"/>
    <mergeCell ref="A22:B22"/>
  </mergeCells>
  <dataValidations count="3">
    <dataValidation type="list" showErrorMessage="1" errorTitle="입력 오류" error="포함 또는 별도 중에서 선택하세요." sqref="C15">
      <formula1>"포함,별도"</formula1>
    </dataValidation>
    <dataValidation type="list" showErrorMessage="1" errorTitle="입력 오류" error="포함 또는 제외 중에서 선택하세요." sqref="D10">
      <formula1>"포함,제외"</formula1>
    </dataValidation>
    <dataValidation type="list" showErrorMessage="1" errorTitle="입력 오류" error="포함 또는 제외 중에서 선택하세요." sqref="D6:D10">
      <formula1>"포함,제외"</formula1>
    </dataValidation>
  </dataValidations>
  <pageMargins left="0.3" right="0.3" top="0.4" bottom="0.4" header="0.2" footer="0.2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 showGridLines="0"/>
  </sheetViews>
  <sheetFormatPr defaultRowHeight="19" outlineLevelRow="0" outlineLevelCol="0" x14ac:dyDescent="55" customHeight="1"/>
  <cols>
    <col min="1" max="1" width="6" customWidth="1"/>
    <col min="2" max="3" width="22" customWidth="1"/>
    <col min="4" max="4" width="28" customWidth="1"/>
    <col min="5" max="5" width="72" customWidth="1"/>
  </cols>
  <sheetData>
    <row r="1" ht="34" customHeight="1" spans="1:5" x14ac:dyDescent="0.25">
      <c r="A1" s="1" t="s">
        <v>202</v>
      </c>
      <c r="B1" s="1"/>
      <c r="C1" s="1"/>
      <c r="D1" s="1"/>
      <c r="E1" s="1"/>
    </row>
    <row r="2" ht="22" customHeight="1" spans="1:5" x14ac:dyDescent="0.25">
      <c r="A2" s="2" t="s">
        <v>203</v>
      </c>
      <c r="B2" s="2"/>
      <c r="C2" s="2"/>
      <c r="D2" s="2"/>
      <c r="E2" s="2"/>
    </row>
    <row r="4" ht="26" customHeight="1" spans="1:5" x14ac:dyDescent="0.25">
      <c r="A4" s="30" t="s">
        <v>86</v>
      </c>
      <c r="B4" s="30" t="s">
        <v>102</v>
      </c>
      <c r="C4" s="30" t="s">
        <v>204</v>
      </c>
      <c r="D4" s="30" t="s">
        <v>205</v>
      </c>
      <c r="E4" s="30" t="s">
        <v>206</v>
      </c>
    </row>
    <row r="5" spans="1:5" x14ac:dyDescent="0.25">
      <c r="A5" s="53">
        <v>1</v>
      </c>
      <c r="B5" s="92" t="s">
        <v>207</v>
      </c>
      <c r="C5" s="44" t="s">
        <v>208</v>
      </c>
      <c r="D5" s="44" t="s">
        <v>209</v>
      </c>
      <c r="E5" s="54" t="s">
        <v>210</v>
      </c>
    </row>
    <row r="6" spans="1:5" x14ac:dyDescent="0.25">
      <c r="A6" s="63">
        <v>2</v>
      </c>
      <c r="B6" s="93" t="s">
        <v>207</v>
      </c>
      <c r="C6" s="49" t="s">
        <v>208</v>
      </c>
      <c r="D6" s="49" t="s">
        <v>211</v>
      </c>
      <c r="E6" s="64" t="s">
        <v>212</v>
      </c>
    </row>
    <row r="7" spans="1:5" x14ac:dyDescent="0.25">
      <c r="A7" s="53">
        <v>3</v>
      </c>
      <c r="B7" s="92" t="s">
        <v>207</v>
      </c>
      <c r="C7" s="44" t="s">
        <v>208</v>
      </c>
      <c r="D7" s="44" t="s">
        <v>213</v>
      </c>
      <c r="E7" s="54" t="s">
        <v>214</v>
      </c>
    </row>
    <row r="8" spans="1:5" x14ac:dyDescent="0.25">
      <c r="A8" s="63">
        <v>4</v>
      </c>
      <c r="B8" s="93" t="s">
        <v>207</v>
      </c>
      <c r="C8" s="49" t="s">
        <v>208</v>
      </c>
      <c r="D8" s="49" t="s">
        <v>215</v>
      </c>
      <c r="E8" s="64" t="s">
        <v>216</v>
      </c>
    </row>
    <row r="9" spans="1:5" x14ac:dyDescent="0.25">
      <c r="A9" s="53">
        <v>5</v>
      </c>
      <c r="B9" s="92" t="s">
        <v>207</v>
      </c>
      <c r="C9" s="44" t="s">
        <v>208</v>
      </c>
      <c r="D9" s="44" t="s">
        <v>217</v>
      </c>
      <c r="E9" s="54" t="s">
        <v>218</v>
      </c>
    </row>
    <row r="10" spans="1:5" x14ac:dyDescent="0.25">
      <c r="A10" s="63">
        <v>6</v>
      </c>
      <c r="B10" s="93" t="s">
        <v>207</v>
      </c>
      <c r="C10" s="49" t="s">
        <v>208</v>
      </c>
      <c r="D10" s="49" t="s">
        <v>219</v>
      </c>
      <c r="E10" s="64" t="s">
        <v>220</v>
      </c>
    </row>
    <row r="11" spans="1:5" x14ac:dyDescent="0.25">
      <c r="A11" s="53">
        <v>7</v>
      </c>
      <c r="B11" s="92" t="s">
        <v>207</v>
      </c>
      <c r="C11" s="44" t="s">
        <v>208</v>
      </c>
      <c r="D11" s="44" t="s">
        <v>221</v>
      </c>
      <c r="E11" s="54" t="s">
        <v>222</v>
      </c>
    </row>
    <row r="12" spans="1:5" x14ac:dyDescent="0.25">
      <c r="A12" s="63">
        <v>8</v>
      </c>
      <c r="B12" s="93" t="s">
        <v>223</v>
      </c>
      <c r="C12" s="49" t="s">
        <v>93</v>
      </c>
      <c r="D12" s="49" t="s">
        <v>224</v>
      </c>
      <c r="E12" s="64" t="s">
        <v>225</v>
      </c>
    </row>
    <row r="13" spans="1:5" x14ac:dyDescent="0.25">
      <c r="A13" s="53">
        <v>9</v>
      </c>
      <c r="B13" s="92" t="s">
        <v>223</v>
      </c>
      <c r="C13" s="44" t="s">
        <v>94</v>
      </c>
      <c r="D13" s="44" t="s">
        <v>226</v>
      </c>
      <c r="E13" s="54" t="s">
        <v>227</v>
      </c>
    </row>
    <row r="14" spans="1:5" x14ac:dyDescent="0.25">
      <c r="A14" s="63">
        <v>10</v>
      </c>
      <c r="B14" s="93" t="s">
        <v>223</v>
      </c>
      <c r="C14" s="49" t="s">
        <v>95</v>
      </c>
      <c r="D14" s="49" t="s">
        <v>228</v>
      </c>
      <c r="E14" s="64" t="s">
        <v>229</v>
      </c>
    </row>
    <row r="15" spans="1:5" x14ac:dyDescent="0.25">
      <c r="A15" s="53">
        <v>11</v>
      </c>
      <c r="B15" s="92" t="s">
        <v>223</v>
      </c>
      <c r="C15" s="44" t="s">
        <v>96</v>
      </c>
      <c r="D15" s="44" t="s">
        <v>230</v>
      </c>
      <c r="E15" s="54" t="s">
        <v>231</v>
      </c>
    </row>
  </sheetData>
  <autoFilter ref="A4:E15"/>
  <mergeCells count="2">
    <mergeCell ref="A1:E1"/>
    <mergeCell ref="A2:E2"/>
  </mergeCells>
  <pageMargins left="0.3" right="0.3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📘 사용안내</vt:lpstr>
      <vt:lpstr>⑥ 분석 대시보드</vt:lpstr>
      <vt:lpstr>④ 메뉴 원가표</vt:lpstr>
      <vt:lpstr>⑤ 레시피 상세</vt:lpstr>
      <vt:lpstr>① 식재료 단가</vt:lpstr>
      <vt:lpstr>② 프렙 원가</vt:lpstr>
      <vt:lpstr>③ 고정비 설정</vt:lpstr>
      <vt:lpstr>⚠ 확인 필요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Everest Restaurant Group</dc:creator>
  <dc:title/>
  <dc:subject/>
  <dc:description/>
  <cp:keywords/>
  <cp:category/>
  <cp:lastModifiedBy>Unknown</cp:lastModifiedBy>
  <dcterms:created xsi:type="dcterms:W3CDTF">2026-09-16T07:23:55Z</dcterms:created>
  <dcterms:modified xsi:type="dcterms:W3CDTF">2026-09-16T07:23:55Z</dcterms:modified>
</cp:coreProperties>
</file>